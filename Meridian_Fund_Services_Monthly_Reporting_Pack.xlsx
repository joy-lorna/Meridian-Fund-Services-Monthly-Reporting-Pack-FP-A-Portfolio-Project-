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tables/table4.xml" ContentType="application/vnd.openxmlformats-officedocument.spreadsheetml.table+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frelotraders-my.sharepoint.com/personal/joylorna_frelotraders_onmicrosoft_com/Documents/Documents/11 portfolio projects/project 6/"/>
    </mc:Choice>
  </mc:AlternateContent>
  <xr:revisionPtr revIDLastSave="766" documentId="8_{EECF3A65-B7FB-4008-8061-40D4B25BCE1C}" xr6:coauthVersionLast="47" xr6:coauthVersionMax="47" xr10:uidLastSave="{8C7ED45E-87CB-41C0-9684-5A0B87C43F41}"/>
  <bookViews>
    <workbookView xWindow="-110" yWindow="-110" windowWidth="19420" windowHeight="10300" firstSheet="7" activeTab="9" xr2:uid="{00000000-000D-0000-FFFF-FFFF00000000}"/>
  </bookViews>
  <sheets>
    <sheet name="Cover_Page" sheetId="1" r:id="rId1"/>
    <sheet name="Executive_Summary" sheetId="2" r:id="rId2"/>
    <sheet name="Management_P&amp;L" sheetId="8" r:id="rId3"/>
    <sheet name="Trend_Analysis" sheetId="9" r:id="rId4"/>
    <sheet name="KPI_Model" sheetId="6" r:id="rId5"/>
    <sheet name="Inputs_Actuals" sheetId="3" r:id="rId6"/>
    <sheet name="Inputs_PriorYear" sheetId="4" r:id="rId7"/>
    <sheet name="Inputs_Budget" sheetId="5" r:id="rId8"/>
    <sheet name="Trend_Data" sheetId="7" r:id="rId9"/>
    <sheet name="Control_Checks" sheetId="10" r:id="rId10"/>
    <sheet name="Methodology_Notes" sheetId="11" r:id="rId11"/>
    <sheet name="Source_Register" sheetId="12" r:id="rId12"/>
  </sheet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5" i="1" l="1"/>
  <c r="G15" i="6"/>
  <c r="F15" i="6"/>
  <c r="E15" i="6"/>
  <c r="G14" i="6"/>
  <c r="C9" i="2" s="1"/>
  <c r="F14" i="6"/>
  <c r="E14" i="6"/>
  <c r="B9" i="2" s="1"/>
  <c r="C12" i="10" s="1"/>
  <c r="G13" i="6"/>
  <c r="C10" i="2" s="1"/>
  <c r="F13" i="6"/>
  <c r="E13" i="6"/>
  <c r="B10" i="2" s="1"/>
  <c r="G12" i="6"/>
  <c r="C8" i="2" s="1"/>
  <c r="F12" i="6"/>
  <c r="E12" i="6"/>
  <c r="B8" i="2" s="1"/>
  <c r="G9" i="6"/>
  <c r="F9" i="6"/>
  <c r="E9" i="6"/>
  <c r="G8" i="6"/>
  <c r="F6" i="7" s="1"/>
  <c r="F8" i="6"/>
  <c r="C7" i="8" s="1"/>
  <c r="E8" i="6"/>
  <c r="F11" i="7" s="1"/>
  <c r="G7" i="6"/>
  <c r="F7" i="6"/>
  <c r="E7" i="6"/>
  <c r="G6" i="6"/>
  <c r="C6" i="2" s="1"/>
  <c r="F6" i="6"/>
  <c r="C6" i="8" s="1"/>
  <c r="E6" i="6"/>
  <c r="B6" i="2" s="1"/>
  <c r="G10" i="6" l="1"/>
  <c r="F10" i="6"/>
  <c r="I10" i="6" s="1"/>
  <c r="E10" i="6"/>
  <c r="C11" i="10"/>
  <c r="C10" i="10"/>
  <c r="C8" i="10"/>
  <c r="B12" i="10"/>
  <c r="B10" i="10"/>
  <c r="B11" i="10"/>
  <c r="B8" i="10"/>
  <c r="B6" i="10"/>
  <c r="J9" i="9"/>
  <c r="G9" i="9"/>
  <c r="A9" i="9"/>
  <c r="D7" i="8"/>
  <c r="B7" i="8"/>
  <c r="D8" i="8"/>
  <c r="B8" i="8"/>
  <c r="D6" i="8"/>
  <c r="B6" i="8"/>
  <c r="H11" i="7"/>
  <c r="I11" i="7"/>
  <c r="C17" i="7"/>
  <c r="B17" i="7"/>
  <c r="J15" i="6"/>
  <c r="L15" i="6" s="1"/>
  <c r="H15" i="6"/>
  <c r="H9" i="6"/>
  <c r="J9" i="6"/>
  <c r="L9" i="6" s="1"/>
  <c r="K6" i="6"/>
  <c r="J6" i="6"/>
  <c r="I6" i="6"/>
  <c r="H6" i="6"/>
  <c r="K7" i="6"/>
  <c r="L7" i="6" s="1"/>
  <c r="J7" i="6"/>
  <c r="I7" i="6"/>
  <c r="H7" i="6"/>
  <c r="K8" i="6"/>
  <c r="L8" i="6" s="1"/>
  <c r="J8" i="6"/>
  <c r="I8" i="6"/>
  <c r="H8" i="6"/>
  <c r="K9" i="6"/>
  <c r="I9" i="6"/>
  <c r="K10" i="6"/>
  <c r="K12" i="6"/>
  <c r="J12" i="6"/>
  <c r="I12" i="6"/>
  <c r="H12" i="6"/>
  <c r="K13" i="6"/>
  <c r="J13" i="6"/>
  <c r="I13" i="6"/>
  <c r="H13" i="6"/>
  <c r="K14" i="6"/>
  <c r="J14" i="6"/>
  <c r="D9" i="2" s="1"/>
  <c r="I14" i="6"/>
  <c r="H14" i="6"/>
  <c r="K15" i="6"/>
  <c r="I15" i="6"/>
  <c r="J10" i="6" l="1"/>
  <c r="H10" i="6"/>
  <c r="B11" i="2"/>
  <c r="E11" i="6"/>
  <c r="C7" i="10" s="1"/>
  <c r="C8" i="8"/>
  <c r="E8" i="8" s="1"/>
  <c r="F11" i="6"/>
  <c r="C9" i="8" s="1"/>
  <c r="C11" i="2"/>
  <c r="G11" i="6"/>
  <c r="C6" i="10"/>
  <c r="F8" i="8"/>
  <c r="E6" i="8"/>
  <c r="F6" i="8"/>
  <c r="E7" i="8"/>
  <c r="F7" i="8"/>
  <c r="L13" i="6"/>
  <c r="E10" i="2" s="1"/>
  <c r="D10" i="2"/>
  <c r="L6" i="6"/>
  <c r="E6" i="2" s="1"/>
  <c r="D6" i="2"/>
  <c r="L10" i="6"/>
  <c r="E11" i="2" s="1"/>
  <c r="D11" i="2"/>
  <c r="L12" i="6"/>
  <c r="E8" i="2" s="1"/>
  <c r="D8" i="2"/>
  <c r="L14" i="6"/>
  <c r="E9" i="2" s="1"/>
  <c r="C7" i="2" l="1"/>
  <c r="D9" i="8"/>
  <c r="C9" i="10"/>
  <c r="B9" i="10"/>
  <c r="B7" i="2"/>
  <c r="J11" i="6"/>
  <c r="B9" i="8"/>
  <c r="H11" i="6"/>
  <c r="D9" i="9"/>
  <c r="C14" i="10"/>
  <c r="B7" i="10"/>
  <c r="I11" i="6"/>
  <c r="K11" i="6"/>
  <c r="E9" i="8" l="1"/>
  <c r="F9" i="8"/>
  <c r="D7" i="2"/>
  <c r="L11" i="6"/>
  <c r="E7"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M365 Copilot</author>
  </authors>
  <commentList>
    <comment ref="D6" authorId="0" shapeId="0" xr:uid="{00000000-0006-0000-0200-000001000000}">
      <text>
        <r>
          <rPr>
            <sz val="11"/>
            <color theme="1"/>
            <rFont val="Calibri"/>
            <family val="2"/>
            <scheme val="minor"/>
          </rPr>
          <t>Fictional portfolio case study input prepared for Meridian Fund Services S.A. monthly reporting pack.</t>
        </r>
      </text>
    </comment>
    <comment ref="D7" authorId="0" shapeId="0" xr:uid="{00000000-0006-0000-0200-000002000000}">
      <text>
        <r>
          <rPr>
            <sz val="11"/>
            <color theme="1"/>
            <rFont val="Calibri"/>
            <family val="2"/>
            <scheme val="minor"/>
          </rPr>
          <t>Fictional portfolio case study input prepared for Meridian Fund Services S.A. monthly reporting pack.</t>
        </r>
      </text>
    </comment>
    <comment ref="D8" authorId="0" shapeId="0" xr:uid="{00000000-0006-0000-0200-000003000000}">
      <text>
        <r>
          <rPr>
            <sz val="11"/>
            <color theme="1"/>
            <rFont val="Calibri"/>
            <family val="2"/>
            <scheme val="minor"/>
          </rPr>
          <t>Fictional portfolio case study input prepared for Meridian Fund Services S.A. monthly reporting pack.</t>
        </r>
      </text>
    </comment>
    <comment ref="D9" authorId="0" shapeId="0" xr:uid="{00000000-0006-0000-0200-000004000000}">
      <text>
        <r>
          <rPr>
            <sz val="11"/>
            <color theme="1"/>
            <rFont val="Calibri"/>
            <family val="2"/>
            <scheme val="minor"/>
          </rPr>
          <t>Fictional portfolio case study input prepared for Meridian Fund Services S.A. monthly reporting pack.</t>
        </r>
      </text>
    </comment>
    <comment ref="D10" authorId="0" shapeId="0" xr:uid="{00000000-0006-0000-0200-000005000000}">
      <text>
        <r>
          <rPr>
            <sz val="11"/>
            <color theme="1"/>
            <rFont val="Calibri"/>
            <family val="2"/>
            <scheme val="minor"/>
          </rPr>
          <t>Fictional portfolio case study input prepared for Meridian Fund Services S.A. monthly reporting pack.</t>
        </r>
      </text>
    </comment>
    <comment ref="D11" authorId="0" shapeId="0" xr:uid="{00000000-0006-0000-0200-000006000000}">
      <text>
        <r>
          <rPr>
            <sz val="11"/>
            <color theme="1"/>
            <rFont val="Calibri"/>
            <family val="2"/>
            <scheme val="minor"/>
          </rPr>
          <t>Fictional portfolio case study input prepared for Meridian Fund Services S.A. monthly reporting pack.</t>
        </r>
      </text>
    </comment>
    <comment ref="D12" authorId="0" shapeId="0" xr:uid="{00000000-0006-0000-0200-000007000000}">
      <text>
        <r>
          <rPr>
            <sz val="11"/>
            <color theme="1"/>
            <rFont val="Calibri"/>
            <family val="2"/>
            <scheme val="minor"/>
          </rPr>
          <t>Fictional portfolio case study input prepared for Meridian Fund Services S.A. monthly reporting pack.</t>
        </r>
      </text>
    </comment>
    <comment ref="D13" authorId="0" shapeId="0" xr:uid="{00000000-0006-0000-0200-000008000000}">
      <text>
        <r>
          <rPr>
            <sz val="11"/>
            <color theme="1"/>
            <rFont val="Calibri"/>
            <family val="2"/>
            <scheme val="minor"/>
          </rPr>
          <t>Fictional portfolio case study input prepared for Meridian Fund Services S.A. monthly reporting pack.</t>
        </r>
      </text>
    </comment>
    <comment ref="D14" authorId="0" shapeId="0" xr:uid="{00000000-0006-0000-0200-000009000000}">
      <text>
        <r>
          <rPr>
            <sz val="11"/>
            <color theme="1"/>
            <rFont val="Calibri"/>
            <family val="2"/>
            <scheme val="minor"/>
          </rPr>
          <t>Fictional portfolio case study input prepared for Meridian Fund Services S.A. monthly reporting pack.</t>
        </r>
      </text>
    </comment>
    <comment ref="D15" authorId="0" shapeId="0" xr:uid="{00000000-0006-0000-0200-00000A000000}">
      <text>
        <r>
          <rPr>
            <sz val="11"/>
            <color theme="1"/>
            <rFont val="Calibri"/>
            <family val="2"/>
            <scheme val="minor"/>
          </rPr>
          <t>Fictional portfolio case study input prepared for Meridian Fund Services S.A. monthly reporting pack.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M365 Copilot</author>
  </authors>
  <commentList>
    <comment ref="D6" authorId="0" shapeId="0" xr:uid="{00000000-0006-0000-0300-000001000000}">
      <text>
        <r>
          <rPr>
            <sz val="11"/>
            <color theme="1"/>
            <rFont val="Calibri"/>
            <family val="2"/>
            <scheme val="minor"/>
          </rPr>
          <t>Fictional portfolio case study input prepared for Meridian Fund Services S.A. monthly reporting pack.</t>
        </r>
      </text>
    </comment>
    <comment ref="D7" authorId="0" shapeId="0" xr:uid="{00000000-0006-0000-0300-000002000000}">
      <text>
        <r>
          <rPr>
            <sz val="11"/>
            <color theme="1"/>
            <rFont val="Calibri"/>
            <family val="2"/>
            <scheme val="minor"/>
          </rPr>
          <t>Fictional portfolio case study input prepared for Meridian Fund Services S.A. monthly reporting pack.</t>
        </r>
      </text>
    </comment>
    <comment ref="D8" authorId="0" shapeId="0" xr:uid="{00000000-0006-0000-0300-000003000000}">
      <text>
        <r>
          <rPr>
            <sz val="11"/>
            <color theme="1"/>
            <rFont val="Calibri"/>
            <family val="2"/>
            <scheme val="minor"/>
          </rPr>
          <t>Fictional portfolio case study input prepared for Meridian Fund Services S.A. monthly reporting pack.</t>
        </r>
      </text>
    </comment>
    <comment ref="D9" authorId="0" shapeId="0" xr:uid="{00000000-0006-0000-0300-000004000000}">
      <text>
        <r>
          <rPr>
            <sz val="11"/>
            <color theme="1"/>
            <rFont val="Calibri"/>
            <family val="2"/>
            <scheme val="minor"/>
          </rPr>
          <t>Fictional portfolio case study input prepared for Meridian Fund Services S.A. monthly reporting pack.</t>
        </r>
      </text>
    </comment>
    <comment ref="D10" authorId="0" shapeId="0" xr:uid="{00000000-0006-0000-0300-000005000000}">
      <text>
        <r>
          <rPr>
            <sz val="11"/>
            <color theme="1"/>
            <rFont val="Calibri"/>
            <family val="2"/>
            <scheme val="minor"/>
          </rPr>
          <t>Fictional portfolio case study input prepared for Meridian Fund Services S.A. monthly reporting pack.</t>
        </r>
      </text>
    </comment>
    <comment ref="D11" authorId="0" shapeId="0" xr:uid="{00000000-0006-0000-0300-000006000000}">
      <text>
        <r>
          <rPr>
            <sz val="11"/>
            <color theme="1"/>
            <rFont val="Calibri"/>
            <family val="2"/>
            <scheme val="minor"/>
          </rPr>
          <t>Fictional portfolio case study input prepared for Meridian Fund Services S.A. monthly reporting pack.</t>
        </r>
      </text>
    </comment>
    <comment ref="D12" authorId="0" shapeId="0" xr:uid="{00000000-0006-0000-0300-000007000000}">
      <text>
        <r>
          <rPr>
            <sz val="11"/>
            <color theme="1"/>
            <rFont val="Calibri"/>
            <family val="2"/>
            <scheme val="minor"/>
          </rPr>
          <t>Fictional portfolio case study input prepared for Meridian Fund Services S.A. monthly reporting pack.</t>
        </r>
      </text>
    </comment>
    <comment ref="D13" authorId="0" shapeId="0" xr:uid="{00000000-0006-0000-0300-000008000000}">
      <text>
        <r>
          <rPr>
            <sz val="11"/>
            <color theme="1"/>
            <rFont val="Calibri"/>
            <family val="2"/>
            <scheme val="minor"/>
          </rPr>
          <t>Fictional portfolio case study input prepared for Meridian Fund Services S.A. monthly reporting pack.</t>
        </r>
      </text>
    </comment>
    <comment ref="D14" authorId="0" shapeId="0" xr:uid="{00000000-0006-0000-0300-000009000000}">
      <text>
        <r>
          <rPr>
            <sz val="11"/>
            <color theme="1"/>
            <rFont val="Calibri"/>
            <family val="2"/>
            <scheme val="minor"/>
          </rPr>
          <t>Fictional portfolio case study input prepared for Meridian Fund Services S.A. monthly reporting pack.</t>
        </r>
      </text>
    </comment>
    <comment ref="D15" authorId="0" shapeId="0" xr:uid="{00000000-0006-0000-0300-00000A000000}">
      <text>
        <r>
          <rPr>
            <sz val="11"/>
            <color theme="1"/>
            <rFont val="Calibri"/>
            <family val="2"/>
            <scheme val="minor"/>
          </rPr>
          <t>Fictional portfolio case study input prepared for Meridian Fund Services S.A. monthly reporting pack.</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M365 Copilot</author>
  </authors>
  <commentList>
    <comment ref="D6" authorId="0" shapeId="0" xr:uid="{00000000-0006-0000-0400-000001000000}">
      <text>
        <r>
          <rPr>
            <sz val="11"/>
            <color theme="1"/>
            <rFont val="Calibri"/>
            <family val="2"/>
            <scheme val="minor"/>
          </rPr>
          <t>Fictional portfolio case study input prepared for Meridian Fund Services S.A. monthly reporting pack.</t>
        </r>
      </text>
    </comment>
    <comment ref="D7" authorId="0" shapeId="0" xr:uid="{00000000-0006-0000-0400-000002000000}">
      <text>
        <r>
          <rPr>
            <sz val="11"/>
            <color theme="1"/>
            <rFont val="Calibri"/>
            <family val="2"/>
            <scheme val="minor"/>
          </rPr>
          <t>Fictional portfolio case study input prepared for Meridian Fund Services S.A. monthly reporting pack.</t>
        </r>
      </text>
    </comment>
    <comment ref="D8" authorId="0" shapeId="0" xr:uid="{00000000-0006-0000-0400-000003000000}">
      <text>
        <r>
          <rPr>
            <sz val="11"/>
            <color theme="1"/>
            <rFont val="Calibri"/>
            <family val="2"/>
            <scheme val="minor"/>
          </rPr>
          <t>Fictional portfolio case study input prepared for Meridian Fund Services S.A. monthly reporting pack.</t>
        </r>
      </text>
    </comment>
    <comment ref="D9" authorId="0" shapeId="0" xr:uid="{00000000-0006-0000-0400-000004000000}">
      <text>
        <r>
          <rPr>
            <sz val="11"/>
            <color theme="1"/>
            <rFont val="Calibri"/>
            <family val="2"/>
            <scheme val="minor"/>
          </rPr>
          <t>Fictional portfolio case study input prepared for Meridian Fund Services S.A. monthly reporting pack.</t>
        </r>
      </text>
    </comment>
    <comment ref="D10" authorId="0" shapeId="0" xr:uid="{00000000-0006-0000-0400-000005000000}">
      <text>
        <r>
          <rPr>
            <sz val="11"/>
            <color theme="1"/>
            <rFont val="Calibri"/>
            <family val="2"/>
            <scheme val="minor"/>
          </rPr>
          <t>Fictional portfolio case study input prepared for Meridian Fund Services S.A. monthly reporting pack.</t>
        </r>
      </text>
    </comment>
    <comment ref="D11" authorId="0" shapeId="0" xr:uid="{00000000-0006-0000-0400-000006000000}">
      <text>
        <r>
          <rPr>
            <sz val="11"/>
            <color theme="1"/>
            <rFont val="Calibri"/>
            <family val="2"/>
            <scheme val="minor"/>
          </rPr>
          <t>Fictional portfolio case study input prepared for Meridian Fund Services S.A. monthly reporting pack.</t>
        </r>
      </text>
    </comment>
    <comment ref="D12" authorId="0" shapeId="0" xr:uid="{00000000-0006-0000-0400-000007000000}">
      <text>
        <r>
          <rPr>
            <sz val="11"/>
            <color theme="1"/>
            <rFont val="Calibri"/>
            <family val="2"/>
            <scheme val="minor"/>
          </rPr>
          <t>Fictional portfolio case study input prepared for Meridian Fund Services S.A. monthly reporting pack.</t>
        </r>
      </text>
    </comment>
    <comment ref="D13" authorId="0" shapeId="0" xr:uid="{00000000-0006-0000-0400-000008000000}">
      <text>
        <r>
          <rPr>
            <sz val="11"/>
            <color theme="1"/>
            <rFont val="Calibri"/>
            <family val="2"/>
            <scheme val="minor"/>
          </rPr>
          <t>Fictional portfolio case study input prepared for Meridian Fund Services S.A. monthly reporting pack.</t>
        </r>
      </text>
    </comment>
    <comment ref="D14" authorId="0" shapeId="0" xr:uid="{00000000-0006-0000-0400-000009000000}">
      <text>
        <r>
          <rPr>
            <sz val="11"/>
            <color theme="1"/>
            <rFont val="Calibri"/>
            <family val="2"/>
            <scheme val="minor"/>
          </rPr>
          <t>Fictional portfolio case study input prepared for Meridian Fund Services S.A. monthly reporting pack.</t>
        </r>
      </text>
    </comment>
    <comment ref="D15" authorId="0" shapeId="0" xr:uid="{00000000-0006-0000-0400-00000A000000}">
      <text>
        <r>
          <rPr>
            <sz val="11"/>
            <color theme="1"/>
            <rFont val="Calibri"/>
            <family val="2"/>
            <scheme val="minor"/>
          </rPr>
          <t>Fictional portfolio case study input prepared for Meridian Fund Services S.A. monthly reporting pack.</t>
        </r>
      </text>
    </comment>
  </commentList>
</comments>
</file>

<file path=xl/sharedStrings.xml><?xml version="1.0" encoding="utf-8"?>
<sst xmlns="http://schemas.openxmlformats.org/spreadsheetml/2006/main" count="415" uniqueCount="243">
  <si>
    <t>MONTHLY MANAGEMENT REPORTING PACK</t>
  </si>
  <si>
    <t>Meridian Fund Services S.A.</t>
  </si>
  <si>
    <t>Fund Administration &amp; Asset Servicing Division, Luxembourg</t>
  </si>
  <si>
    <t>Reporting Period</t>
  </si>
  <si>
    <t>October 2026</t>
  </si>
  <si>
    <t>Prepared by</t>
  </si>
  <si>
    <t>Date Prepared</t>
  </si>
  <si>
    <t>Status</t>
  </si>
  <si>
    <t>Fictional Company Profile</t>
  </si>
  <si>
    <t>A mid-sized Luxembourg fund administrator providing NAV calculation, transfer agency and fund accounting services to alternative investment funds. The division serves approximately 140 fund structures across private equity, real estate and credit strategies for EU and non-EU asset managers.</t>
  </si>
  <si>
    <t>EXECUTIVE SUMMARY</t>
  </si>
  <si>
    <t>Fund Administration &amp; Asset Servicing Division | October 2026</t>
  </si>
  <si>
    <t>KPI</t>
  </si>
  <si>
    <t>Actual</t>
  </si>
  <si>
    <t>Budget</t>
  </si>
  <si>
    <t>Var vs Budget</t>
  </si>
  <si>
    <t>RAG</t>
  </si>
  <si>
    <t>Executive Readout</t>
  </si>
  <si>
    <t>Total Fee Revenue (€'000)</t>
  </si>
  <si>
    <t>Operating Margin (%)</t>
  </si>
  <si>
    <t>Assets Under Administration (€bn)</t>
  </si>
  <si>
    <t>NAV Error Rate (bps)</t>
  </si>
  <si>
    <t>INPUTS ACTUALS</t>
  </si>
  <si>
    <t>Current month close | hardcoded input tab</t>
  </si>
  <si>
    <t>Category</t>
  </si>
  <si>
    <t>Unit</t>
  </si>
  <si>
    <t>Total Fee Revenue</t>
  </si>
  <si>
    <t>Revenue</t>
  </si>
  <si>
    <t>€'000</t>
  </si>
  <si>
    <t>Net New Fee Revenue (Onboardings)</t>
  </si>
  <si>
    <t>Total Operating Expenses</t>
  </si>
  <si>
    <t>Cost</t>
  </si>
  <si>
    <t>Staff Cost as % of Revenue</t>
  </si>
  <si>
    <t>%</t>
  </si>
  <si>
    <t>EBITDA</t>
  </si>
  <si>
    <t>Margin</t>
  </si>
  <si>
    <t>Operating Margin</t>
  </si>
  <si>
    <t>Assets Under Administration (AUA)</t>
  </si>
  <si>
    <t>Balance Sheet / Operational</t>
  </si>
  <si>
    <t>€bn</t>
  </si>
  <si>
    <t>Days Sales Outstanding (DSO)</t>
  </si>
  <si>
    <t>days</t>
  </si>
  <si>
    <t>NAV Error Rate</t>
  </si>
  <si>
    <t>bps</t>
  </si>
  <si>
    <t>Headcount / FTE Utilization</t>
  </si>
  <si>
    <t>Source note: fictional GL, budget and operational system extracts constructed for a Luxembourg fund administration portfolio case study. Inputs are intentionally coherent across revenue, margin, AUA, DSO and NAV quality commentary.</t>
  </si>
  <si>
    <t>Prior-year same-month comparative | hardcoded input tab</t>
  </si>
  <si>
    <t>PY Actual</t>
  </si>
  <si>
    <t>INPUTS BUDGET</t>
  </si>
  <si>
    <t>Board-approved FY26 budget, phased monthly | hardcoded input tab</t>
  </si>
  <si>
    <t>KPI MODEL</t>
  </si>
  <si>
    <t>Linked variance engine | single source of truth for executive pack</t>
  </si>
  <si>
    <t>Favourable Direction</t>
  </si>
  <si>
    <t>Prior Year</t>
  </si>
  <si>
    <t>Var vs PY</t>
  </si>
  <si>
    <t>Var vs PY %</t>
  </si>
  <si>
    <t>Var vs Budget %</t>
  </si>
  <si>
    <t>Management Driver</t>
  </si>
  <si>
    <t>Higher</t>
  </si>
  <si>
    <t>New private credit mandates offset by slower real estate fund ramp.</t>
  </si>
  <si>
    <t>Two onboarding mandates contributed EUR 95k net new fee revenue.</t>
  </si>
  <si>
    <t>Lower</t>
  </si>
  <si>
    <t>Temporary staffing cover partly offset by technology and facilities savings.</t>
  </si>
  <si>
    <t>NAV team parental leave cover lifted staff cost ratio above budget.</t>
  </si>
  <si>
    <t>EBITDA below budget due to staff cost overrun and delayed revenue ramp.</t>
  </si>
  <si>
    <t>Margin dilution caused by temporary staff costs, not structural cost base.</t>
  </si>
  <si>
    <t>New onboardings and positive market movement drove AUA uplift.</t>
  </si>
  <si>
    <t>Two clients over 60 days outstanding; follow-up underway.</t>
  </si>
  <si>
    <t>Q3 transfer agency remediation plan reduced error rate.</t>
  </si>
  <si>
    <t>Utilization broadly in line with budget despite temporary cover.</t>
  </si>
  <si>
    <t>•  Revenue and AUA are within tolerance; the apparent revenue miss is commercial timing rather than loss of run-rate fees.</t>
  </si>
  <si>
    <t>•  Staff cost, EBITDA, operating margin and DSO form one coherent amber cluster, driven by temporary staffing cover and collection timing.</t>
  </si>
  <si>
    <t>•  NAV error rate is ahead of budget, providing a credible operational quality improvement story for a Luxembourg fund administration context.</t>
  </si>
  <si>
    <t>A. 12-month trend - Fee Revenue vs AUA</t>
  </si>
  <si>
    <t>B. Opex bridge - Budget to Actual</t>
  </si>
  <si>
    <t>C. Operational quality - 6-month trend</t>
  </si>
  <si>
    <t>Month</t>
  </si>
  <si>
    <t>Fee Revenue (€'000)</t>
  </si>
  <si>
    <t>AUA (€bn)</t>
  </si>
  <si>
    <t>Step</t>
  </si>
  <si>
    <t>Value (€'000)</t>
  </si>
  <si>
    <t>DSO (days)</t>
  </si>
  <si>
    <t>Budget Opex</t>
  </si>
  <si>
    <t>Staff cost variance (temp cover)</t>
  </si>
  <si>
    <t>Technology variance</t>
  </si>
  <si>
    <t>Professional fees variance</t>
  </si>
  <si>
    <t>Other / facilities variance</t>
  </si>
  <si>
    <t>Actual Opex</t>
  </si>
  <si>
    <t>Commercial timing is below plan but remains within tolerance.</t>
  </si>
  <si>
    <t>Temporary NAV production cover diluted margin by 2.5 points.</t>
  </si>
  <si>
    <t>New mandates and valuation movement lifted AUA above plan.</t>
  </si>
  <si>
    <t>Q3 remediation reduced errors to 1.8bps, ahead of plan.</t>
  </si>
  <si>
    <t>Days Sales Outstanding (days)</t>
  </si>
  <si>
    <t>Two invoices over 60 days require closure before November close.</t>
  </si>
  <si>
    <t>EBITDA (€'000)</t>
  </si>
  <si>
    <t>Staff cover and delayed onboarding revenue explain the budget gap.</t>
  </si>
  <si>
    <t>•  Fee revenue reached EUR 2.18m, up 6.2% year-on-year; one real estate onboarding ramp remains the principal budget timing gap.</t>
  </si>
  <si>
    <t>•  EBITDA was EUR 637k and operating margin 29.2%, both below budget because temporary NAV production cover lifted the cost base.</t>
  </si>
  <si>
    <t>•  AUA closed at EUR 39.4bn, 1.0% above budget and 9.1% above prior year, supported by new mandates and positive valuation movement.</t>
  </si>
  <si>
    <t>•  NAV error rate improved to 1.8bps versus 2.5bps budget, demonstrating sustained benefit from the Q3 remediation plan.</t>
  </si>
  <si>
    <t>•  DSO ended at 47 days, five days above budget; ownership is assigned for two invoices aged over 60 days before the November close.</t>
  </si>
  <si>
    <t>Commercial momentum and operational quality remain positive. Executive attention should focus on converting delayed onboarding revenue, normalising temporary staffing cover and collecting the two overdue balances before the next close.</t>
  </si>
  <si>
    <t>TREND DATA</t>
  </si>
  <si>
    <t>Controlled source ranges for management charts | latest month linked to KPI model</t>
  </si>
  <si>
    <t>MANAGEMENT P&amp;L</t>
  </si>
  <si>
    <t>October performance remains profitable and ahead of prior year, but the budget gap is concentrated in delayed onboarding revenue and temporary staffing cover. EBITDA is EUR 66k below plan; the cost response should remain targeted rather than structural.</t>
  </si>
  <si>
    <t>Management interpretation</t>
  </si>
  <si>
    <t>Fee Revenue</t>
  </si>
  <si>
    <t>Revenue growth is positive; the plan gap is timing-related.</t>
  </si>
  <si>
    <t>Operating Expenses</t>
  </si>
  <si>
    <t>Temporary cover is partly offset by technology and facilities savings.</t>
  </si>
  <si>
    <t>EBITDA remains above prior year but EUR 66k below budget.</t>
  </si>
  <si>
    <t>Margin dilution is temporary and linked to staffing cover.</t>
  </si>
  <si>
    <t>ACTUAL / PRIOR YEAR / BUDGET COMPARISON</t>
  </si>
  <si>
    <t>MANAGEMENT ACTIONS</t>
  </si>
  <si>
    <t>1. Convert the delayed real estate onboarding milestone into November billing.  2. End temporary NAV production cover once the handover is complete.  3. Escalate the two receivables aged over 60 days and confirm cash collection before close.</t>
  </si>
  <si>
    <t>PERFORMANCE TRENDS &amp; OPERATING DRIVERS</t>
  </si>
  <si>
    <t>Commercial momentum, cost bridge and operational quality | October 2026</t>
  </si>
  <si>
    <t>Story in brief: Fee revenue has risen 10.9% since November 2025 while AUA reached EUR 39.4bn. Operational quality improved materially, with NAV errors falling from 3.4bps in May to 1.8bps in October. The remaining pressure is financial discipline: temporary staffing added EUR 52k to opex and DSO remains five days above budget.</t>
  </si>
  <si>
    <t>FEE REVENUE</t>
  </si>
  <si>
    <t>OPERATING MARGIN</t>
  </si>
  <si>
    <t>ASSETS UNDER ADMINISTRATION</t>
  </si>
  <si>
    <t>NAV ERROR RATE</t>
  </si>
  <si>
    <t>Executive reporting model | fictional portfolio case study</t>
  </si>
  <si>
    <t>HEADLINE SCORECARD</t>
  </si>
  <si>
    <t>MANAGEMENT COMMENTARY</t>
  </si>
  <si>
    <t>EXECUTIVE STEERING MESSAGE</t>
  </si>
  <si>
    <t>INPUTS PRIOR YEAR</t>
  </si>
  <si>
    <t>VARIANCE INTERPRETATION</t>
  </si>
  <si>
    <t>Final | Portfolio Case Study</t>
  </si>
  <si>
    <t>Joy Lorna, Financial Analyst – FP&amp;A</t>
  </si>
  <si>
    <t>WORKBOOK CONTENTS</t>
  </si>
  <si>
    <t>Sheet</t>
  </si>
  <si>
    <t>Purpose</t>
  </si>
  <si>
    <t>Executive_Summary</t>
  </si>
  <si>
    <t>Headline scorecard, management commentary and executive steering message.</t>
  </si>
  <si>
    <t>Management_P&amp;L</t>
  </si>
  <si>
    <t>Actual, prior-year and budget P&amp;L comparison with management actions.</t>
  </si>
  <si>
    <t>Trend_Analysis</t>
  </si>
  <si>
    <t>KPI_Model</t>
  </si>
  <si>
    <t>Linked variance engine, favourable-direction logic and RAG status.</t>
  </si>
  <si>
    <t>Inputs_Actuals</t>
  </si>
  <si>
    <t>October 2026 current-month hardcoded inputs.</t>
  </si>
  <si>
    <t>Inputs_PriorYear</t>
  </si>
  <si>
    <t>October 2025 comparative hardcoded inputs.</t>
  </si>
  <si>
    <t>Inputs_Budget</t>
  </si>
  <si>
    <t>October 2026 phased board-budget inputs.</t>
  </si>
  <si>
    <t>Trend_Data</t>
  </si>
  <si>
    <t>Controlled source ranges supporting the management charts.</t>
  </si>
  <si>
    <t>MODEL DESIGN NOTE</t>
  </si>
  <si>
    <t>Blue font and yellow fill identify hardcoded inputs; green font identifies linked cross-sheet formulas; black font identifies derived formulas and narrative outputs. KPI_Model is the single source of truth. All entities, values and events are fictional and created solely for this portfolio case study.</t>
  </si>
  <si>
    <t>P&amp;L line (€'000 unless stated)</t>
  </si>
  <si>
    <t>COMMERCIAL &amp; ASSET TREND</t>
  </si>
  <si>
    <t>COST DRIVERS &amp; OPERATIONAL QUALITY</t>
  </si>
  <si>
    <t>Executive KPI tiles and three decision-focused management charts.</t>
  </si>
  <si>
    <t>Fictional Portfolio Case Study | Meridian Fund Services S.A. | October 2026</t>
  </si>
  <si>
    <t>CONTROL CHECKS</t>
  </si>
  <si>
    <t>Live reconciliations across the October 2026 management reporting pack</t>
  </si>
  <si>
    <t>FINANCIAL AND REPORTING RECONCILIATIONS</t>
  </si>
  <si>
    <t>Control</t>
  </si>
  <si>
    <t>Formula / Test</t>
  </si>
  <si>
    <t>Result</t>
  </si>
  <si>
    <t>Revenue - Opex = EBITDA</t>
  </si>
  <si>
    <t>Operating Margin = EBITDA ÷ Revenue</t>
  </si>
  <si>
    <t>KPI Model Revenue = Executive Summary Revenue</t>
  </si>
  <si>
    <t>KPI Model EBITDA = Executive Summary EBITDA</t>
  </si>
  <si>
    <t>KPI Model AUA = Executive Summary AUA</t>
  </si>
  <si>
    <t>KPI Model DSO = Executive Summary DSO</t>
  </si>
  <si>
    <t>KPI Model NAV Error Rate = Executive Summary NAV Error Rate</t>
  </si>
  <si>
    <t>OVERALL CONTROL STATUS</t>
  </si>
  <si>
    <t>METHODOLOGY NOTES</t>
  </si>
  <si>
    <t>Reporting basis, calculation definitions and KPI governance | October 2026</t>
  </si>
  <si>
    <t>PURPOSE</t>
  </si>
  <si>
    <t>Monthly management reporting pack for a fictional Luxembourg fund administration business.</t>
  </si>
  <si>
    <t>REPORTING BASIS</t>
  </si>
  <si>
    <t>Reporting period</t>
  </si>
  <si>
    <t>Reporting frequency</t>
  </si>
  <si>
    <t>Monthly management reporting</t>
  </si>
  <si>
    <t>Comparison basis</t>
  </si>
  <si>
    <t>Actual vs Prior Year vs Budget</t>
  </si>
  <si>
    <t>Data classification</t>
  </si>
  <si>
    <t>Fictional data</t>
  </si>
  <si>
    <t>Exercise type</t>
  </si>
  <si>
    <t>Illustrative management reporting exercise</t>
  </si>
  <si>
    <t>KEY CALCULATIONS</t>
  </si>
  <si>
    <t>Definition</t>
  </si>
  <si>
    <t>Formula / Measurement</t>
  </si>
  <si>
    <t>Earnings before interest, tax, depreciation and amortisation</t>
  </si>
  <si>
    <t>EBITDA = Revenue - Operating Expenses</t>
  </si>
  <si>
    <t>EBITDA as a percentage of revenue</t>
  </si>
  <si>
    <t>DSO</t>
  </si>
  <si>
    <t>Collection-cycle indicator</t>
  </si>
  <si>
    <t>DSO = Trade Receivables ÷ Monthly Revenue × Days in Month</t>
  </si>
  <si>
    <t>FTE Utilisation</t>
  </si>
  <si>
    <t>Chargeable capacity utilisation</t>
  </si>
  <si>
    <t>Chargeable Hours ÷ Available Hours</t>
  </si>
  <si>
    <t>Operational quality indicator</t>
  </si>
  <si>
    <t>NAV errors measured in basis points.</t>
  </si>
  <si>
    <t>KPI OWNERSHIP</t>
  </si>
  <si>
    <t>Owner</t>
  </si>
  <si>
    <t>Commercial Director</t>
  </si>
  <si>
    <t>AUA</t>
  </si>
  <si>
    <t>Business Development</t>
  </si>
  <si>
    <t>Finance</t>
  </si>
  <si>
    <t>Operations</t>
  </si>
  <si>
    <t>FP&amp;A</t>
  </si>
  <si>
    <t>LIMITATION STATEMENT</t>
  </si>
  <si>
    <t>This model is an educational portfolio project using fictional data and should not be interpreted as a real financial institution reporting pack.</t>
  </si>
  <si>
    <t>SOURCE REGISTER</t>
  </si>
  <si>
    <t>Dataset lineage and publication status | October 2026</t>
  </si>
  <si>
    <t>SYNTHETIC DATASETS</t>
  </si>
  <si>
    <t>Dataset</t>
  </si>
  <si>
    <t>Description</t>
  </si>
  <si>
    <t>Fictional monthly actuals</t>
  </si>
  <si>
    <t>Fictional prior-year comparatives</t>
  </si>
  <si>
    <t>Fictional budget values</t>
  </si>
  <si>
    <t>Synthetic trend dataset</t>
  </si>
  <si>
    <t>DATA CLASSIFICATION</t>
  </si>
  <si>
    <t>All datasets are synthetic and created solely for portfolio demonstration purposes.</t>
  </si>
  <si>
    <t>Control_Checks</t>
  </si>
  <si>
    <t>Methodology_Notes</t>
  </si>
  <si>
    <t>Source_Register</t>
  </si>
  <si>
    <t>Live financial and cross-report reconciliation controls.</t>
  </si>
  <si>
    <t>Reporting basis, calculation definitions and KPI ownership.</t>
  </si>
  <si>
    <t>Synthetic dataset descriptions and publication classification.</t>
  </si>
  <si>
    <t>MODEL INFORMATION</t>
  </si>
  <si>
    <t>Item</t>
  </si>
  <si>
    <t>Value</t>
  </si>
  <si>
    <t>Version</t>
  </si>
  <si>
    <t>v1.0</t>
  </si>
  <si>
    <t>Joy Lorna</t>
  </si>
  <si>
    <t>Final</t>
  </si>
  <si>
    <t>Data Type</t>
  </si>
  <si>
    <t>Fictional Portfolio Dataset</t>
  </si>
  <si>
    <t>Data as of</t>
  </si>
  <si>
    <t>REPORTING CONTROL</t>
  </si>
  <si>
    <t>Reporting Control</t>
  </si>
  <si>
    <t>Actuals Loaded</t>
  </si>
  <si>
    <t>Complete</t>
  </si>
  <si>
    <t>Prior Year Loaded</t>
  </si>
  <si>
    <t>Budget Loaded</t>
  </si>
  <si>
    <t>KPI Review Completed</t>
  </si>
  <si>
    <t>Management Commentary Updated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</si>
</sst>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Red]\(#,##0\);\-"/>
    <numFmt numFmtId="166" formatCode="#,##0.0;[Red]\(#,##0.0\);\-"/>
    <numFmt numFmtId="167" formatCode="0.0"/>
    <numFmt numFmtId="169" formatCode="\+0.0\ &quot;pts&quot;;[Red]\(0.0\ &quot;pts&quot;\);\-"/>
    <numFmt numFmtId="170" formatCode="\+0\ &quot;days&quot;;[Red]\(0\ &quot;days&quot;\);\-"/>
    <numFmt numFmtId="171" formatCode="\+0.0\ &quot;bps&quot;;[Red]\(0.0\ &quot;bps&quot;\);\-"/>
    <numFmt numFmtId="172" formatCode="0.0%"/>
    <numFmt numFmtId="173" formatCode="\€0.00&quot;m&quot;"/>
    <numFmt numFmtId="174" formatCode="\€0.0&quot;bn&quot;"/>
    <numFmt numFmtId="175" formatCode="0.0&quot; bps&quot;"/>
    <numFmt numFmtId="176" formatCode="dd\ mmmm\ yyyy"/>
    <numFmt numFmtId="177" formatCode="mmm\ yyyy"/>
    <numFmt numFmtId="178" formatCode="\+0.0%;\-0.0%;0.0%"/>
  </numFmts>
  <fonts count="35" x14ac:knownFonts="1">
    <font>
      <sz val="11"/>
      <color theme="1"/>
      <name val="Calibri"/>
      <family val="2"/>
      <scheme val="minor"/>
    </font>
    <font>
      <b/>
      <sz val="22"/>
      <color rgb="FF1F3864"/>
      <name val="Arial"/>
    </font>
    <font>
      <i/>
      <sz val="12"/>
      <color rgb="FF666666"/>
      <name val="Arial"/>
    </font>
    <font>
      <b/>
      <sz val="15"/>
      <color rgb="FF1F3864"/>
      <name val="Arial"/>
    </font>
    <font>
      <sz val="11"/>
      <color rgb="FF404040"/>
      <name val="Arial"/>
    </font>
    <font>
      <b/>
      <sz val="10"/>
      <color rgb="FF1F3864"/>
      <name val="Arial"/>
    </font>
    <font>
      <sz val="10"/>
      <color rgb="FF000000"/>
      <name val="Arial"/>
    </font>
    <font>
      <b/>
      <sz val="11"/>
      <color rgb="FFFFFFFF"/>
      <name val="Arial"/>
    </font>
    <font>
      <i/>
      <sz val="8"/>
      <color rgb="FF808080"/>
      <name val="Arial"/>
    </font>
    <font>
      <i/>
      <sz val="9"/>
      <color rgb="FFFFFFFF"/>
      <name val="Arial"/>
    </font>
    <font>
      <b/>
      <sz val="9"/>
      <color rgb="FFFFFFFF"/>
      <name val="Arial"/>
    </font>
    <font>
      <sz val="10"/>
      <color rgb="FF595959"/>
      <name val="Arial"/>
    </font>
    <font>
      <b/>
      <sz val="10"/>
      <color rgb="FF0000FF"/>
      <name val="Arial"/>
    </font>
    <font>
      <sz val="10"/>
      <color rgb="FF7030A0"/>
      <name val="Arial"/>
    </font>
    <font>
      <sz val="10"/>
      <color rgb="FF008000"/>
      <name val="Arial"/>
    </font>
    <font>
      <b/>
      <sz val="10"/>
      <color rgb="FF008000"/>
      <name val="Arial"/>
    </font>
    <font>
      <sz val="9"/>
      <color rgb="FF000000"/>
      <name val="Arial"/>
    </font>
    <font>
      <b/>
      <sz val="10"/>
      <color rgb="FF000000"/>
      <name val="Arial"/>
    </font>
    <font>
      <b/>
      <sz val="10"/>
      <color rgb="FF404040"/>
      <name val="Arial"/>
    </font>
    <font>
      <sz val="9"/>
      <color rgb="FF0000FF"/>
      <name val="Arial"/>
    </font>
    <font>
      <b/>
      <sz val="18"/>
      <color rgb="FFFFFFFF"/>
      <name val="Arial"/>
    </font>
    <font>
      <i/>
      <sz val="10"/>
      <color rgb="FF666666"/>
      <name val="Arial"/>
    </font>
    <font>
      <b/>
      <sz val="11"/>
      <color rgb="FFFFFFFF"/>
      <name val="Calibri"/>
      <family val="2"/>
      <scheme val="minor"/>
    </font>
    <font>
      <b/>
      <sz val="18"/>
      <color rgb="FFFFFFFF"/>
      <name val="Calibri"/>
      <family val="2"/>
      <scheme val="minor"/>
    </font>
    <font>
      <i/>
      <sz val="10"/>
      <color rgb="FF666666"/>
      <name val="Calibri"/>
      <family val="2"/>
      <scheme val="minor"/>
    </font>
    <font>
      <b/>
      <sz val="20"/>
      <color rgb="FF17365D"/>
      <name val="Calibri"/>
      <family val="2"/>
      <scheme val="minor"/>
    </font>
    <font>
      <sz val="9"/>
      <color rgb="FFFFFFFF"/>
      <name val="Calibri"/>
      <family val="2"/>
      <scheme val="minor"/>
    </font>
    <font>
      <b/>
      <sz val="11"/>
      <color rgb="FF2F75B5"/>
      <name val="Calibri"/>
      <family val="2"/>
      <scheme val="minor"/>
    </font>
    <font>
      <sz val="11"/>
      <color rgb="FF404040"/>
      <name val="Calibri"/>
      <family val="2"/>
      <scheme val="minor"/>
    </font>
    <font>
      <b/>
      <sz val="11"/>
      <color theme="1"/>
      <name val="Calibri"/>
      <family val="2"/>
      <scheme val="minor"/>
    </font>
    <font>
      <b/>
      <sz val="11"/>
      <color rgb="FF1F1F1F"/>
      <name val="Calibri"/>
      <family val="2"/>
      <scheme val="minor"/>
    </font>
    <font>
      <sz val="11"/>
      <color rgb="FF008000"/>
      <name val="Calibri"/>
      <family val="2"/>
      <scheme val="minor"/>
    </font>
    <font>
      <b/>
      <sz val="11"/>
      <color rgb="FF008000"/>
      <name val="Calibri"/>
      <family val="2"/>
      <scheme val="minor"/>
    </font>
    <font>
      <i/>
      <sz val="11"/>
      <color theme="1"/>
      <name val="Calibri"/>
      <family val="2"/>
      <scheme val="minor"/>
    </font>
    <font>
      <b/>
      <sz val="11"/>
      <color rgb="FF006100"/>
      <name val="Calibri"/>
      <family val="2"/>
      <scheme val="minor"/>
    </font>
  </fonts>
  <fills count="12">
    <fill>
      <patternFill patternType="none"/>
    </fill>
    <fill>
      <patternFill patternType="gray125"/>
    </fill>
    <fill>
      <patternFill patternType="solid">
        <fgColor rgb="FF2E4E7E"/>
      </patternFill>
    </fill>
    <fill>
      <patternFill patternType="solid">
        <fgColor rgb="FFFFF2CC"/>
      </patternFill>
    </fill>
    <fill>
      <patternFill patternType="solid">
        <fgColor rgb="FF17365D"/>
        <bgColor indexed="64"/>
      </patternFill>
    </fill>
    <fill>
      <patternFill patternType="solid">
        <fgColor rgb="FFF3F6F9"/>
        <bgColor indexed="64"/>
      </patternFill>
    </fill>
    <fill>
      <patternFill patternType="solid">
        <fgColor rgb="FF2F75B5"/>
        <bgColor indexed="64"/>
      </patternFill>
    </fill>
    <fill>
      <patternFill patternType="solid">
        <fgColor rgb="FF1F6D7A"/>
        <bgColor indexed="64"/>
      </patternFill>
    </fill>
    <fill>
      <patternFill patternType="solid">
        <fgColor rgb="FFD9EAF7"/>
        <bgColor indexed="64"/>
      </patternFill>
    </fill>
    <fill>
      <patternFill patternType="solid">
        <fgColor rgb="FFFFF2CC"/>
        <bgColor indexed="64"/>
      </patternFill>
    </fill>
    <fill>
      <patternFill patternType="solid">
        <fgColor rgb="FF1F4E78"/>
        <bgColor indexed="64"/>
      </patternFill>
    </fill>
    <fill>
      <patternFill patternType="solid">
        <fgColor rgb="FFC6EFCE"/>
        <bgColor indexed="64"/>
      </patternFill>
    </fill>
  </fills>
  <borders count="7">
    <border>
      <left/>
      <right/>
      <top/>
      <bottom/>
      <diagonal/>
    </border>
    <border>
      <left/>
      <right/>
      <top/>
      <bottom style="thin">
        <color rgb="FFD9E2F3"/>
      </bottom>
      <diagonal/>
    </border>
    <border>
      <left/>
      <right/>
      <top/>
      <bottom style="medium">
        <color rgb="FF1F3864"/>
      </bottom>
      <diagonal/>
    </border>
    <border>
      <left/>
      <right/>
      <top/>
      <bottom style="thin">
        <color rgb="FF1F4E78"/>
      </bottom>
      <diagonal/>
    </border>
    <border>
      <left/>
      <right/>
      <top style="thin">
        <color rgb="FF1F4E78"/>
      </top>
      <bottom style="thin">
        <color rgb="FFB7C9D6"/>
      </bottom>
      <diagonal/>
    </border>
    <border>
      <left/>
      <right/>
      <top style="thin">
        <color rgb="FFB7C9D6"/>
      </top>
      <bottom style="thin">
        <color rgb="FFB7C9D6"/>
      </bottom>
      <diagonal/>
    </border>
    <border>
      <left/>
      <right/>
      <top style="thin">
        <color rgb="FFB7C9D6"/>
      </top>
      <bottom/>
      <diagonal/>
    </border>
  </borders>
  <cellStyleXfs count="1">
    <xf numFmtId="0" fontId="0" fillId="0" borderId="0"/>
  </cellStyleXfs>
  <cellXfs count="114">
    <xf numFmtId="0" fontId="0" fillId="0" borderId="0" xfId="0"/>
    <xf numFmtId="0" fontId="5" fillId="0" borderId="1" xfId="0" applyFont="1" applyBorder="1"/>
    <xf numFmtId="0" fontId="6" fillId="0" borderId="1" xfId="0" applyFont="1" applyBorder="1"/>
    <xf numFmtId="0" fontId="17" fillId="0" borderId="1" xfId="0" applyFont="1" applyBorder="1"/>
    <xf numFmtId="164" fontId="14" fillId="0" borderId="1" xfId="0" applyNumberFormat="1" applyFont="1" applyBorder="1"/>
    <xf numFmtId="0" fontId="15" fillId="0" borderId="1" xfId="0" applyFont="1" applyBorder="1" applyAlignment="1">
      <alignment horizontal="center"/>
    </xf>
    <xf numFmtId="0" fontId="16" fillId="0" borderId="1" xfId="0" applyFont="1" applyBorder="1" applyAlignment="1">
      <alignment wrapText="1"/>
    </xf>
    <xf numFmtId="169" fontId="14" fillId="0" borderId="1" xfId="0" applyNumberFormat="1" applyFont="1" applyBorder="1"/>
    <xf numFmtId="166" fontId="14" fillId="0" borderId="1" xfId="0" applyNumberFormat="1" applyFont="1" applyBorder="1"/>
    <xf numFmtId="167" fontId="14" fillId="0" borderId="1" xfId="0" applyNumberFormat="1" applyFont="1" applyBorder="1"/>
    <xf numFmtId="171" fontId="14" fillId="0" borderId="1" xfId="0" applyNumberFormat="1" applyFont="1" applyBorder="1"/>
    <xf numFmtId="0" fontId="11" fillId="0" borderId="1" xfId="0" applyFont="1" applyBorder="1"/>
    <xf numFmtId="0" fontId="11" fillId="0" borderId="1" xfId="0" applyFont="1" applyBorder="1" applyAlignment="1">
      <alignment horizontal="center"/>
    </xf>
    <xf numFmtId="0" fontId="13" fillId="0" borderId="1" xfId="0" applyFont="1" applyBorder="1"/>
    <xf numFmtId="164" fontId="14" fillId="0" borderId="1" xfId="0" applyNumberFormat="1" applyFont="1" applyBorder="1" applyAlignment="1">
      <alignment horizontal="right"/>
    </xf>
    <xf numFmtId="0" fontId="15" fillId="0" borderId="1" xfId="0" applyFont="1" applyBorder="1"/>
    <xf numFmtId="166" fontId="14" fillId="0" borderId="1" xfId="0" applyNumberFormat="1" applyFont="1" applyBorder="1" applyAlignment="1">
      <alignment horizontal="right"/>
    </xf>
    <xf numFmtId="1" fontId="14" fillId="0" borderId="1" xfId="0" applyNumberFormat="1" applyFont="1" applyBorder="1" applyAlignment="1">
      <alignment horizontal="right"/>
    </xf>
    <xf numFmtId="167" fontId="14" fillId="0" borderId="1" xfId="0" applyNumberFormat="1" applyFont="1" applyBorder="1" applyAlignment="1">
      <alignment horizontal="right"/>
    </xf>
    <xf numFmtId="0" fontId="19" fillId="3" borderId="1" xfId="0" applyFont="1" applyFill="1" applyBorder="1"/>
    <xf numFmtId="164" fontId="19" fillId="3" borderId="1" xfId="0" applyNumberFormat="1" applyFont="1" applyFill="1" applyBorder="1"/>
    <xf numFmtId="166" fontId="19" fillId="3" borderId="1" xfId="0" applyNumberFormat="1" applyFont="1" applyFill="1" applyBorder="1"/>
    <xf numFmtId="167" fontId="19" fillId="3" borderId="1" xfId="0" applyNumberFormat="1" applyFont="1" applyFill="1" applyBorder="1"/>
    <xf numFmtId="1" fontId="19" fillId="3" borderId="1" xfId="0" applyNumberFormat="1" applyFont="1" applyFill="1" applyBorder="1"/>
    <xf numFmtId="1" fontId="0" fillId="0" borderId="0" xfId="0" applyNumberFormat="1"/>
    <xf numFmtId="172" fontId="14" fillId="0" borderId="1" xfId="0" applyNumberFormat="1" applyFont="1" applyBorder="1"/>
    <xf numFmtId="170" fontId="0" fillId="0" borderId="0" xfId="0" applyNumberFormat="1"/>
    <xf numFmtId="164" fontId="0" fillId="0" borderId="0" xfId="0" applyNumberFormat="1"/>
    <xf numFmtId="0" fontId="0" fillId="0" borderId="0" xfId="0" applyAlignment="1">
      <alignment wrapText="1"/>
    </xf>
    <xf numFmtId="0" fontId="22" fillId="6" borderId="0" xfId="0" applyFont="1" applyFill="1" applyAlignment="1">
      <alignment horizontal="center"/>
    </xf>
    <xf numFmtId="0" fontId="22" fillId="6" borderId="0" xfId="0" applyFont="1" applyFill="1" applyAlignment="1">
      <alignment horizontal="center" vertical="center" wrapText="1"/>
    </xf>
    <xf numFmtId="172" fontId="0" fillId="0" borderId="0" xfId="0" applyNumberFormat="1"/>
    <xf numFmtId="169" fontId="0" fillId="0" borderId="0" xfId="0" applyNumberFormat="1"/>
    <xf numFmtId="0" fontId="10" fillId="6" borderId="2" xfId="0" applyFont="1" applyFill="1" applyBorder="1" applyAlignment="1">
      <alignment horizontal="center" vertical="center" wrapText="1"/>
    </xf>
    <xf numFmtId="164" fontId="12" fillId="9" borderId="1" xfId="0" applyNumberFormat="1" applyFont="1" applyFill="1" applyBorder="1" applyAlignment="1">
      <alignment horizontal="right"/>
    </xf>
    <xf numFmtId="166" fontId="12" fillId="9" borderId="1" xfId="0" applyNumberFormat="1" applyFont="1" applyFill="1" applyBorder="1" applyAlignment="1">
      <alignment horizontal="right"/>
    </xf>
    <xf numFmtId="1" fontId="12" fillId="9" borderId="1" xfId="0" applyNumberFormat="1" applyFont="1" applyFill="1" applyBorder="1" applyAlignment="1">
      <alignment horizontal="right"/>
    </xf>
    <xf numFmtId="167" fontId="12" fillId="9" borderId="1" xfId="0" applyNumberFormat="1" applyFont="1" applyFill="1" applyBorder="1" applyAlignment="1">
      <alignment horizontal="right"/>
    </xf>
    <xf numFmtId="170" fontId="14" fillId="0" borderId="1" xfId="0" applyNumberFormat="1" applyFont="1" applyBorder="1"/>
    <xf numFmtId="0" fontId="10" fillId="6" borderId="0" xfId="0" applyFont="1" applyFill="1" applyAlignment="1">
      <alignment horizontal="center" vertical="center" wrapText="1"/>
    </xf>
    <xf numFmtId="0" fontId="27" fillId="0" borderId="0" xfId="0" applyFont="1"/>
    <xf numFmtId="0" fontId="5" fillId="0" borderId="0" xfId="0" applyFont="1"/>
    <xf numFmtId="177" fontId="19" fillId="3" borderId="1" xfId="0" applyNumberFormat="1" applyFont="1" applyFill="1" applyBorder="1"/>
    <xf numFmtId="0" fontId="7" fillId="7" borderId="0" xfId="0" applyFont="1" applyFill="1" applyAlignment="1">
      <alignment horizontal="left" vertical="center" indent="1"/>
    </xf>
    <xf numFmtId="0" fontId="22" fillId="7" borderId="0" xfId="0" applyFont="1" applyFill="1"/>
    <xf numFmtId="0" fontId="20" fillId="4" borderId="0" xfId="0" applyFont="1" applyFill="1" applyAlignment="1">
      <alignment horizontal="left" vertical="center" indent="1"/>
    </xf>
    <xf numFmtId="0" fontId="21" fillId="2" borderId="0" xfId="0" applyFont="1" applyFill="1" applyAlignment="1">
      <alignment horizontal="left" vertical="center" indent="1"/>
    </xf>
    <xf numFmtId="0" fontId="9" fillId="4" borderId="0" xfId="0" applyFont="1" applyFill="1" applyAlignment="1">
      <alignment horizontal="center" vertical="center" indent="1"/>
    </xf>
    <xf numFmtId="0" fontId="26" fillId="4" borderId="0" xfId="0" applyFont="1" applyFill="1" applyAlignment="1">
      <alignment horizontal="center" vertical="center"/>
    </xf>
    <xf numFmtId="0" fontId="22" fillId="4" borderId="0" xfId="0" applyFont="1" applyFill="1" applyAlignment="1">
      <alignment horizontal="center"/>
    </xf>
    <xf numFmtId="0" fontId="6" fillId="0" borderId="0" xfId="0" applyFont="1" applyAlignment="1">
      <alignment vertical="top" wrapText="1"/>
    </xf>
    <xf numFmtId="0" fontId="0" fillId="0" borderId="0" xfId="0" applyAlignment="1">
      <alignment wrapText="1"/>
    </xf>
    <xf numFmtId="0" fontId="6" fillId="0" borderId="1" xfId="0" applyFont="1" applyBorder="1"/>
    <xf numFmtId="0" fontId="0" fillId="0" borderId="1" xfId="0" applyBorder="1"/>
    <xf numFmtId="0" fontId="2" fillId="0" borderId="0" xfId="0" applyFont="1"/>
    <xf numFmtId="0" fontId="0" fillId="0" borderId="0" xfId="0"/>
    <xf numFmtId="0" fontId="1" fillId="0" borderId="0" xfId="0" applyFont="1"/>
    <xf numFmtId="0" fontId="22" fillId="6" borderId="0" xfId="0" applyFont="1" applyFill="1" applyAlignment="1">
      <alignment horizontal="center"/>
    </xf>
    <xf numFmtId="0" fontId="28" fillId="0" borderId="0" xfId="0" applyFont="1" applyAlignment="1">
      <alignment wrapText="1"/>
    </xf>
    <xf numFmtId="0" fontId="7" fillId="2" borderId="0" xfId="0" applyFont="1" applyFill="1" applyAlignment="1">
      <alignment horizontal="left" vertical="center" indent="1"/>
    </xf>
    <xf numFmtId="0" fontId="0" fillId="2" borderId="0" xfId="0" applyFill="1"/>
    <xf numFmtId="0" fontId="3" fillId="0" borderId="0" xfId="0" applyFont="1"/>
    <xf numFmtId="176" fontId="6" fillId="0" borderId="1" xfId="0" applyNumberFormat="1" applyFont="1" applyBorder="1" applyAlignment="1">
      <alignment horizontal="left" vertical="top"/>
    </xf>
    <xf numFmtId="0" fontId="0" fillId="0" borderId="1" xfId="0" applyBorder="1" applyAlignment="1">
      <alignment horizontal="left" vertical="top"/>
    </xf>
    <xf numFmtId="0" fontId="4" fillId="0" borderId="0" xfId="0" applyFont="1"/>
    <xf numFmtId="0" fontId="22" fillId="7" borderId="0" xfId="0" applyFont="1" applyFill="1" applyAlignment="1">
      <alignment vertical="center"/>
    </xf>
    <xf numFmtId="0" fontId="0" fillId="5" borderId="0" xfId="0" applyFill="1" applyAlignment="1">
      <alignment vertical="center" wrapText="1"/>
    </xf>
    <xf numFmtId="0" fontId="24" fillId="0" borderId="0" xfId="0" applyFont="1" applyAlignment="1">
      <alignment vertical="center"/>
    </xf>
    <xf numFmtId="0" fontId="7" fillId="7" borderId="0" xfId="0" applyFont="1" applyFill="1" applyAlignment="1">
      <alignment vertical="center"/>
    </xf>
    <xf numFmtId="0" fontId="23" fillId="4" borderId="0" xfId="0" applyFont="1" applyFill="1" applyAlignment="1">
      <alignment vertical="center"/>
    </xf>
    <xf numFmtId="0" fontId="18" fillId="0" borderId="0" xfId="0" applyFont="1" applyAlignment="1">
      <alignment vertical="top" wrapText="1"/>
    </xf>
    <xf numFmtId="175" fontId="25" fillId="8" borderId="0" xfId="0" applyNumberFormat="1" applyFont="1" applyFill="1" applyAlignment="1">
      <alignment horizontal="center" vertical="center"/>
    </xf>
    <xf numFmtId="0" fontId="22" fillId="7" borderId="0" xfId="0" applyFont="1" applyFill="1" applyAlignment="1">
      <alignment horizontal="center"/>
    </xf>
    <xf numFmtId="173" fontId="25" fillId="8" borderId="0" xfId="0" applyNumberFormat="1" applyFont="1" applyFill="1" applyAlignment="1">
      <alignment horizontal="center" vertical="center"/>
    </xf>
    <xf numFmtId="172" fontId="25" fillId="8" borderId="0" xfId="0" applyNumberFormat="1" applyFont="1" applyFill="1" applyAlignment="1">
      <alignment horizontal="center" vertical="center"/>
    </xf>
    <xf numFmtId="174" fontId="25" fillId="8" borderId="0" xfId="0" applyNumberFormat="1" applyFont="1" applyFill="1" applyAlignment="1">
      <alignment horizontal="center" vertical="center"/>
    </xf>
    <xf numFmtId="0" fontId="16" fillId="0" borderId="0" xfId="0" applyFont="1" applyAlignment="1">
      <alignment wrapText="1"/>
    </xf>
    <xf numFmtId="0" fontId="8" fillId="5" borderId="0" xfId="0" applyFont="1" applyFill="1" applyAlignment="1">
      <alignment vertical="top" wrapText="1"/>
    </xf>
    <xf numFmtId="0" fontId="0" fillId="5" borderId="0" xfId="0" applyFill="1" applyAlignment="1">
      <alignment wrapText="1"/>
    </xf>
    <xf numFmtId="0" fontId="0" fillId="0" borderId="0" xfId="0" applyFill="1" applyBorder="1"/>
    <xf numFmtId="0" fontId="28" fillId="0" borderId="0" xfId="0" applyFont="1" applyFill="1" applyBorder="1" applyAlignment="1">
      <alignment wrapText="1"/>
    </xf>
    <xf numFmtId="0" fontId="23" fillId="4" borderId="0" xfId="0" applyFont="1" applyFill="1" applyAlignment="1">
      <alignment horizontal="center" vertical="center"/>
    </xf>
    <xf numFmtId="0" fontId="24" fillId="0" borderId="0" xfId="0" applyFont="1" applyAlignment="1">
      <alignment horizontal="center"/>
    </xf>
    <xf numFmtId="0" fontId="22" fillId="10" borderId="0" xfId="0" applyFont="1" applyFill="1"/>
    <xf numFmtId="0" fontId="26" fillId="4" borderId="0" xfId="0" applyFont="1" applyFill="1" applyAlignment="1">
      <alignment horizontal="center"/>
    </xf>
    <xf numFmtId="0" fontId="30" fillId="8" borderId="3" xfId="0" applyFont="1" applyFill="1" applyBorder="1" applyAlignment="1">
      <alignment horizontal="center"/>
    </xf>
    <xf numFmtId="0" fontId="29" fillId="0" borderId="0" xfId="0" applyFont="1"/>
    <xf numFmtId="0" fontId="32" fillId="0" borderId="4" xfId="0" applyFont="1" applyBorder="1" applyAlignment="1">
      <alignment horizontal="center"/>
    </xf>
    <xf numFmtId="0" fontId="32" fillId="0" borderId="5" xfId="0" applyFont="1" applyBorder="1" applyAlignment="1">
      <alignment horizontal="center"/>
    </xf>
    <xf numFmtId="0" fontId="32" fillId="0" borderId="6" xfId="0" applyFont="1" applyBorder="1" applyAlignment="1">
      <alignment horizontal="center"/>
    </xf>
    <xf numFmtId="0" fontId="29" fillId="5" borderId="0" xfId="0" applyFont="1" applyFill="1"/>
    <xf numFmtId="0" fontId="29" fillId="5" borderId="0" xfId="0" applyFont="1" applyFill="1"/>
    <xf numFmtId="0" fontId="30" fillId="8" borderId="3" xfId="0" applyFont="1" applyFill="1" applyBorder="1" applyAlignment="1">
      <alignment horizontal="center"/>
    </xf>
    <xf numFmtId="0" fontId="29" fillId="0" borderId="0" xfId="0" applyFont="1"/>
    <xf numFmtId="0" fontId="29" fillId="0" borderId="0" xfId="0" applyFont="1" applyFill="1" applyBorder="1"/>
    <xf numFmtId="17" fontId="0" fillId="0" borderId="0" xfId="0" applyNumberFormat="1" applyAlignment="1">
      <alignment wrapText="1"/>
    </xf>
    <xf numFmtId="0" fontId="33" fillId="0" borderId="0" xfId="0" applyFont="1" applyAlignment="1">
      <alignment wrapText="1"/>
    </xf>
    <xf numFmtId="0" fontId="34" fillId="11" borderId="0" xfId="0" applyFont="1" applyFill="1"/>
    <xf numFmtId="0" fontId="34" fillId="11" borderId="0" xfId="0" applyFont="1" applyFill="1" applyBorder="1"/>
    <xf numFmtId="49" fontId="0" fillId="0" borderId="0" xfId="0" applyNumberFormat="1" applyAlignment="1">
      <alignment wrapText="1"/>
    </xf>
    <xf numFmtId="49" fontId="0" fillId="0" borderId="0" xfId="0" applyNumberFormat="1"/>
    <xf numFmtId="172" fontId="12" fillId="9" borderId="1" xfId="0" applyNumberFormat="1" applyFont="1" applyFill="1" applyBorder="1" applyAlignment="1">
      <alignment horizontal="right"/>
    </xf>
    <xf numFmtId="172" fontId="14" fillId="0" borderId="1" xfId="0" applyNumberFormat="1" applyFont="1" applyBorder="1" applyAlignment="1">
      <alignment horizontal="right"/>
    </xf>
    <xf numFmtId="178" fontId="14" fillId="0" borderId="1" xfId="0" applyNumberFormat="1" applyFont="1" applyBorder="1"/>
    <xf numFmtId="178" fontId="0" fillId="0" borderId="0" xfId="0" applyNumberFormat="1"/>
    <xf numFmtId="0" fontId="29" fillId="0" borderId="4" xfId="0" applyFont="1" applyBorder="1" applyAlignment="1">
      <alignment wrapText="1"/>
    </xf>
    <xf numFmtId="0" fontId="31" fillId="0" borderId="4" xfId="0" applyFont="1" applyBorder="1" applyAlignment="1">
      <alignment horizontal="center" wrapText="1"/>
    </xf>
    <xf numFmtId="0" fontId="29" fillId="0" borderId="5" xfId="0" applyFont="1" applyBorder="1" applyAlignment="1">
      <alignment wrapText="1"/>
    </xf>
    <xf numFmtId="0" fontId="31" fillId="0" borderId="5" xfId="0" applyFont="1" applyBorder="1" applyAlignment="1">
      <alignment horizontal="center" wrapText="1"/>
    </xf>
    <xf numFmtId="0" fontId="29" fillId="0" borderId="6" xfId="0" applyFont="1" applyBorder="1" applyAlignment="1">
      <alignment wrapText="1"/>
    </xf>
    <xf numFmtId="0" fontId="31" fillId="0" borderId="6" xfId="0" applyFont="1" applyBorder="1" applyAlignment="1">
      <alignment horizontal="center" wrapText="1"/>
    </xf>
    <xf numFmtId="0" fontId="22" fillId="7" borderId="0" xfId="0" applyFont="1" applyFill="1" applyAlignment="1">
      <alignment vertical="center" wrapText="1"/>
    </xf>
    <xf numFmtId="176" fontId="0" fillId="0" borderId="0" xfId="0" applyNumberFormat="1" applyAlignment="1">
      <alignment horizontal="left"/>
    </xf>
    <xf numFmtId="0" fontId="0" fillId="0" borderId="0" xfId="0" applyAlignment="1">
      <alignment horizontal="left"/>
    </xf>
  </cellXfs>
  <cellStyles count="1">
    <cellStyle name="Normal" xfId="0" builtinId="0"/>
  </cellStyles>
  <dxfs count="36">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4CCCC"/>
        </patternFill>
      </fill>
    </dxf>
    <dxf>
      <font>
        <color rgb="FF9C6500"/>
      </font>
      <fill>
        <patternFill patternType="solid">
          <fgColor indexed="64"/>
          <bgColor rgb="FFFFE699"/>
        </patternFill>
      </fill>
    </dxf>
    <dxf>
      <font>
        <color rgb="FF006100"/>
      </font>
      <fill>
        <patternFill patternType="solid">
          <fgColor indexed="64"/>
          <bgColor rgb="FFC6E0B4"/>
        </patternFill>
      </fill>
    </dxf>
    <dxf>
      <font>
        <b/>
        <sz val="10"/>
        <color rgb="FF9C0006"/>
        <name val="Arial"/>
      </font>
      <fill>
        <patternFill patternType="solid">
          <fgColor rgb="FFF8CBAD"/>
        </patternFill>
      </fill>
    </dxf>
    <dxf>
      <font>
        <b/>
        <sz val="10"/>
        <color rgb="FF7F6000"/>
        <name val="Arial"/>
      </font>
      <fill>
        <patternFill patternType="solid">
          <fgColor rgb="FFFFE699"/>
        </patternFill>
      </fill>
    </dxf>
    <dxf>
      <font>
        <b/>
        <sz val="10"/>
        <color rgb="FF375623"/>
        <name val="Arial"/>
      </font>
      <fill>
        <patternFill patternType="solid">
          <fgColor rgb="FFC6E0B4"/>
        </patternFill>
      </fill>
    </dxf>
    <dxf>
      <font>
        <color rgb="FF9C0006"/>
      </font>
      <fill>
        <patternFill patternType="solid">
          <fgColor indexed="64"/>
          <bgColor rgb="FFFCE4D6"/>
        </patternFill>
      </fill>
    </dxf>
    <dxf>
      <font>
        <color rgb="FF006100"/>
      </font>
      <fill>
        <patternFill patternType="solid">
          <fgColor indexed="64"/>
          <bgColor rgb="FFE2F0D9"/>
        </patternFill>
      </fill>
    </dxf>
    <dxf>
      <font>
        <color rgb="FF9C0006"/>
      </font>
      <fill>
        <patternFill patternType="solid">
          <fgColor indexed="64"/>
          <bgColor rgb="FFFCE4D6"/>
        </patternFill>
      </fill>
    </dxf>
    <dxf>
      <font>
        <color rgb="FF006100"/>
      </font>
      <fill>
        <patternFill patternType="solid">
          <fgColor indexed="64"/>
          <bgColor rgb="FFE2F0D9"/>
        </patternFill>
      </fill>
    </dxf>
    <dxf>
      <font>
        <color rgb="FF9C0006"/>
      </font>
      <fill>
        <patternFill patternType="solid">
          <fgColor indexed="64"/>
          <bgColor rgb="FFFCE4D6"/>
        </patternFill>
      </fill>
    </dxf>
    <dxf>
      <font>
        <color rgb="FF006100"/>
      </font>
      <fill>
        <patternFill patternType="solid">
          <fgColor indexed="64"/>
          <bgColor rgb="FFE2F0D9"/>
        </patternFill>
      </fill>
    </dxf>
    <dxf>
      <font>
        <color rgb="FF9C0006"/>
      </font>
      <fill>
        <patternFill patternType="solid">
          <fgColor indexed="64"/>
          <bgColor rgb="FFF4CCCC"/>
        </patternFill>
      </fill>
    </dxf>
    <dxf>
      <font>
        <color rgb="FF9C6500"/>
      </font>
      <fill>
        <patternFill patternType="solid">
          <fgColor indexed="64"/>
          <bgColor rgb="FFFFE699"/>
        </patternFill>
      </fill>
    </dxf>
    <dxf>
      <font>
        <color rgb="FF006100"/>
      </font>
      <fill>
        <patternFill patternType="solid">
          <fgColor indexed="64"/>
          <bgColor rgb="FFC6E0B4"/>
        </patternFill>
      </fill>
    </dxf>
    <dxf>
      <font>
        <b/>
        <sz val="10"/>
        <color rgb="FF9C0006"/>
        <name val="Arial"/>
      </font>
      <fill>
        <patternFill patternType="solid">
          <fgColor rgb="FFF8CBAD"/>
        </patternFill>
      </fill>
    </dxf>
    <dxf>
      <font>
        <b/>
        <sz val="10"/>
        <color rgb="FF7F6000"/>
        <name val="Arial"/>
      </font>
      <fill>
        <patternFill patternType="solid">
          <fgColor rgb="FFFFE699"/>
        </patternFill>
      </fill>
    </dxf>
    <dxf>
      <font>
        <b/>
        <sz val="10"/>
        <color rgb="FF375623"/>
        <name val="Arial"/>
      </font>
      <fill>
        <patternFill patternType="solid">
          <fgColor rgb="FFC6E0B4"/>
        </patternFill>
      </fill>
    </dxf>
    <dxf>
      <font>
        <color rgb="FF008000"/>
      </font>
      <numFmt numFmtId="178" formatCode="\+0.0%;\-0.0%;0.0%"/>
    </dxf>
    <dxf>
      <font>
        <color rgb="FF008000"/>
      </font>
      <numFmt numFmtId="178" formatCode="\+0.0%;\-0.0%;0.0%"/>
    </dxf>
    <dxf>
      <font>
        <b/>
        <color rgb="FF0000FF"/>
      </font>
      <fill>
        <patternFill patternType="solid">
          <fgColor indexed="64"/>
          <bgColor rgb="FFFFF2CC"/>
        </patternFill>
      </fill>
    </dxf>
    <dxf>
      <font>
        <b/>
        <color rgb="FFFFFFFF"/>
      </font>
      <fill>
        <patternFill patternType="solid">
          <fgColor indexed="64"/>
          <bgColor rgb="FF2F75B5"/>
        </patternFill>
      </fill>
      <alignment horizontal="center" vertical="center" wrapText="1"/>
    </dxf>
    <dxf>
      <font>
        <b/>
        <color rgb="FF0000FF"/>
      </font>
      <fill>
        <patternFill patternType="solid">
          <fgColor indexed="64"/>
          <bgColor rgb="FFFFF2CC"/>
        </patternFill>
      </fill>
    </dxf>
    <dxf>
      <font>
        <b/>
        <color rgb="FFFFFFFF"/>
      </font>
      <fill>
        <patternFill patternType="solid">
          <fgColor indexed="64"/>
          <bgColor rgb="FF2F75B5"/>
        </patternFill>
      </fill>
      <alignment horizontal="center" vertical="center" wrapText="1"/>
    </dxf>
    <dxf>
      <font>
        <b/>
        <color rgb="FF0000FF"/>
      </font>
      <fill>
        <patternFill patternType="solid">
          <fgColor indexed="64"/>
          <bgColor rgb="FFFFF2CC"/>
        </patternFill>
      </fill>
    </dxf>
    <dxf>
      <font>
        <b/>
        <color rgb="FFFFFFFF"/>
      </font>
      <fill>
        <patternFill patternType="solid">
          <fgColor indexed="64"/>
          <bgColor rgb="FF2F75B5"/>
        </patternFill>
      </fill>
      <alignment horizontal="center" vertical="center" wrapText="1"/>
    </dxf>
    <dxf>
      <alignment wrapText="1"/>
    </dxf>
    <dxf>
      <font>
        <color rgb="FF008000"/>
      </font>
    </dxf>
    <dxf>
      <font>
        <color rgb="FF008000"/>
      </font>
    </dxf>
    <dxf>
      <font>
        <color rgb="FF008000"/>
      </font>
    </dxf>
    <dxf>
      <font>
        <color rgb="FF008000"/>
      </font>
    </dxf>
    <dxf>
      <font>
        <color rgb="FF008000"/>
      </font>
    </dxf>
    <dxf>
      <font>
        <color rgb="FF008000"/>
      </font>
    </dxf>
    <dxf>
      <font>
        <b/>
        <color rgb="FFFFFFFF"/>
      </font>
      <fill>
        <patternFill patternType="solid">
          <fgColor indexed="64"/>
          <bgColor rgb="FF2F75B5"/>
        </patternFill>
      </fill>
      <alignment horizontal="center" vertical="center" wrapText="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Actual vs Prior Year vs Budget (€'000)</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'Management_P&amp;L'!$B$5</c:f>
              <c:strCache>
                <c:ptCount val="1"/>
                <c:pt idx="0">
                  <c:v>Actual</c:v>
                </c:pt>
              </c:strCache>
            </c:strRef>
          </c:tx>
          <c:spPr>
            <a:solidFill>
              <a:schemeClr val="accent1"/>
            </a:solidFill>
            <a:ln>
              <a:noFill/>
            </a:ln>
            <a:effectLst/>
          </c:spPr>
          <c:invertIfNegative val="0"/>
          <c:cat>
            <c:strRef>
              <c:f>'Management_P&amp;L'!$A$6:$A$8</c:f>
              <c:strCache>
                <c:ptCount val="3"/>
                <c:pt idx="0">
                  <c:v>Fee Revenue</c:v>
                </c:pt>
                <c:pt idx="1">
                  <c:v>Operating Expenses</c:v>
                </c:pt>
                <c:pt idx="2">
                  <c:v>EBITDA</c:v>
                </c:pt>
              </c:strCache>
            </c:strRef>
          </c:cat>
          <c:val>
            <c:numRef>
              <c:f>'Management_P&amp;L'!$B$6:$B$8</c:f>
              <c:numCache>
                <c:formatCode>#,##0;[Red]\(#,##0\);\-</c:formatCode>
                <c:ptCount val="3"/>
                <c:pt idx="0">
                  <c:v>2180</c:v>
                </c:pt>
                <c:pt idx="1">
                  <c:v>1543</c:v>
                </c:pt>
                <c:pt idx="2">
                  <c:v>637</c:v>
                </c:pt>
              </c:numCache>
            </c:numRef>
          </c:val>
          <c:extLst>
            <c:ext xmlns:c16="http://schemas.microsoft.com/office/drawing/2014/chart" uri="{C3380CC4-5D6E-409C-BE32-E72D297353CC}">
              <c16:uniqueId val="{00000000-37E2-4953-9580-33211A157EFD}"/>
            </c:ext>
          </c:extLst>
        </c:ser>
        <c:ser>
          <c:idx val="1"/>
          <c:order val="1"/>
          <c:tx>
            <c:strRef>
              <c:f>'Management_P&amp;L'!$C$5</c:f>
              <c:strCache>
                <c:ptCount val="1"/>
                <c:pt idx="0">
                  <c:v>Prior Year</c:v>
                </c:pt>
              </c:strCache>
            </c:strRef>
          </c:tx>
          <c:spPr>
            <a:solidFill>
              <a:schemeClr val="accent2"/>
            </a:solidFill>
            <a:ln>
              <a:noFill/>
            </a:ln>
            <a:effectLst/>
          </c:spPr>
          <c:invertIfNegative val="0"/>
          <c:cat>
            <c:strRef>
              <c:f>'Management_P&amp;L'!$A$6:$A$8</c:f>
              <c:strCache>
                <c:ptCount val="3"/>
                <c:pt idx="0">
                  <c:v>Fee Revenue</c:v>
                </c:pt>
                <c:pt idx="1">
                  <c:v>Operating Expenses</c:v>
                </c:pt>
                <c:pt idx="2">
                  <c:v>EBITDA</c:v>
                </c:pt>
              </c:strCache>
            </c:strRef>
          </c:cat>
          <c:val>
            <c:numRef>
              <c:f>'Management_P&amp;L'!$C$6:$C$8</c:f>
              <c:numCache>
                <c:formatCode>#,##0;[Red]\(#,##0\);\-</c:formatCode>
                <c:ptCount val="3"/>
                <c:pt idx="0">
                  <c:v>2053</c:v>
                </c:pt>
                <c:pt idx="1">
                  <c:v>1468</c:v>
                </c:pt>
                <c:pt idx="2">
                  <c:v>585</c:v>
                </c:pt>
              </c:numCache>
            </c:numRef>
          </c:val>
          <c:extLst>
            <c:ext xmlns:c16="http://schemas.microsoft.com/office/drawing/2014/chart" uri="{C3380CC4-5D6E-409C-BE32-E72D297353CC}">
              <c16:uniqueId val="{00000001-37E2-4953-9580-33211A157EFD}"/>
            </c:ext>
          </c:extLst>
        </c:ser>
        <c:ser>
          <c:idx val="2"/>
          <c:order val="2"/>
          <c:tx>
            <c:strRef>
              <c:f>'Management_P&amp;L'!$D$5</c:f>
              <c:strCache>
                <c:ptCount val="1"/>
                <c:pt idx="0">
                  <c:v>Budget</c:v>
                </c:pt>
              </c:strCache>
            </c:strRef>
          </c:tx>
          <c:spPr>
            <a:solidFill>
              <a:schemeClr val="accent3"/>
            </a:solidFill>
            <a:ln>
              <a:noFill/>
            </a:ln>
            <a:effectLst/>
          </c:spPr>
          <c:invertIfNegative val="0"/>
          <c:cat>
            <c:strRef>
              <c:f>'Management_P&amp;L'!$A$6:$A$8</c:f>
              <c:strCache>
                <c:ptCount val="3"/>
                <c:pt idx="0">
                  <c:v>Fee Revenue</c:v>
                </c:pt>
                <c:pt idx="1">
                  <c:v>Operating Expenses</c:v>
                </c:pt>
                <c:pt idx="2">
                  <c:v>EBITDA</c:v>
                </c:pt>
              </c:strCache>
            </c:strRef>
          </c:cat>
          <c:val>
            <c:numRef>
              <c:f>'Management_P&amp;L'!$D$6:$D$8</c:f>
              <c:numCache>
                <c:formatCode>#,##0;[Red]\(#,##0\);\-</c:formatCode>
                <c:ptCount val="3"/>
                <c:pt idx="0">
                  <c:v>2220</c:v>
                </c:pt>
                <c:pt idx="1">
                  <c:v>1517</c:v>
                </c:pt>
                <c:pt idx="2">
                  <c:v>703</c:v>
                </c:pt>
              </c:numCache>
            </c:numRef>
          </c:val>
          <c:extLst>
            <c:ext xmlns:c16="http://schemas.microsoft.com/office/drawing/2014/chart" uri="{C3380CC4-5D6E-409C-BE32-E72D297353CC}">
              <c16:uniqueId val="{00000002-37E2-4953-9580-33211A157EFD}"/>
            </c:ext>
          </c:extLst>
        </c:ser>
        <c:dLbls>
          <c:showLegendKey val="0"/>
          <c:showVal val="0"/>
          <c:showCatName val="0"/>
          <c:showSerName val="0"/>
          <c:showPercent val="0"/>
          <c:showBubbleSize val="0"/>
        </c:dLbls>
        <c:gapWidth val="219"/>
        <c:overlap val="-27"/>
        <c:axId val="778391344"/>
        <c:axId val="701735263"/>
      </c:barChart>
      <c:catAx>
        <c:axId val="7783913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P&amp;L line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735263"/>
        <c:crosses val="autoZero"/>
        <c:auto val="1"/>
        <c:lblAlgn val="ctr"/>
        <c:lblOffset val="100"/>
        <c:noMultiLvlLbl val="0"/>
      </c:catAx>
      <c:valAx>
        <c:axId val="7017352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€'000</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391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Fee Revenue and AUA | 12-Month Trend</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Trend_Data!$B$5</c:f>
              <c:strCache>
                <c:ptCount val="1"/>
                <c:pt idx="0">
                  <c:v>Fee Revenue (€'000)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Trend_Data!$A$6:$A$17</c:f>
              <c:numCache>
                <c:formatCode>mmm\ yyyy</c:formatCode>
                <c:ptCount val="12"/>
                <c:pt idx="0">
                  <c:v>45962</c:v>
                </c:pt>
                <c:pt idx="1">
                  <c:v>45992</c:v>
                </c:pt>
                <c:pt idx="2">
                  <c:v>46023</c:v>
                </c:pt>
                <c:pt idx="3">
                  <c:v>46054</c:v>
                </c:pt>
                <c:pt idx="4">
                  <c:v>46082</c:v>
                </c:pt>
                <c:pt idx="5">
                  <c:v>46113</c:v>
                </c:pt>
                <c:pt idx="6">
                  <c:v>46143</c:v>
                </c:pt>
                <c:pt idx="7">
                  <c:v>46174</c:v>
                </c:pt>
                <c:pt idx="8">
                  <c:v>46204</c:v>
                </c:pt>
                <c:pt idx="9">
                  <c:v>46235</c:v>
                </c:pt>
                <c:pt idx="10">
                  <c:v>46266</c:v>
                </c:pt>
                <c:pt idx="11">
                  <c:v>46296</c:v>
                </c:pt>
              </c:numCache>
            </c:numRef>
          </c:cat>
          <c:val>
            <c:numRef>
              <c:f>Trend_Data!$B$6:$B$17</c:f>
              <c:numCache>
                <c:formatCode>#,##0;[Red]\(#,##0\);\-</c:formatCode>
                <c:ptCount val="12"/>
                <c:pt idx="0">
                  <c:v>1965</c:v>
                </c:pt>
                <c:pt idx="1">
                  <c:v>2010</c:v>
                </c:pt>
                <c:pt idx="2">
                  <c:v>1988</c:v>
                </c:pt>
                <c:pt idx="3">
                  <c:v>2025</c:v>
                </c:pt>
                <c:pt idx="4">
                  <c:v>2050</c:v>
                </c:pt>
                <c:pt idx="5">
                  <c:v>2070</c:v>
                </c:pt>
                <c:pt idx="6">
                  <c:v>2040</c:v>
                </c:pt>
                <c:pt idx="7">
                  <c:v>2095</c:v>
                </c:pt>
                <c:pt idx="8">
                  <c:v>2110</c:v>
                </c:pt>
                <c:pt idx="9">
                  <c:v>2130</c:v>
                </c:pt>
                <c:pt idx="10">
                  <c:v>2155</c:v>
                </c:pt>
                <c:pt idx="11">
                  <c:v>2180</c:v>
                </c:pt>
              </c:numCache>
            </c:numRef>
          </c:val>
          <c:smooth val="0"/>
          <c:extLst>
            <c:ext xmlns:c16="http://schemas.microsoft.com/office/drawing/2014/chart" uri="{C3380CC4-5D6E-409C-BE32-E72D297353CC}">
              <c16:uniqueId val="{00000000-17E7-4C2C-AAFF-FF1D0A98F021}"/>
            </c:ext>
          </c:extLst>
        </c:ser>
        <c:dLbls>
          <c:showLegendKey val="0"/>
          <c:showVal val="0"/>
          <c:showCatName val="0"/>
          <c:showSerName val="0"/>
          <c:showPercent val="0"/>
          <c:showBubbleSize val="0"/>
        </c:dLbls>
        <c:marker val="1"/>
        <c:smooth val="0"/>
        <c:axId val="744253520"/>
        <c:axId val="701736703"/>
      </c:lineChart>
      <c:lineChart>
        <c:grouping val="standard"/>
        <c:varyColors val="0"/>
        <c:ser>
          <c:idx val="1"/>
          <c:order val="1"/>
          <c:tx>
            <c:strRef>
              <c:f>Trend_Data!$C$5</c:f>
              <c:strCache>
                <c:ptCount val="1"/>
                <c:pt idx="0">
                  <c:v>AUA (€bn)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Trend_Data!$A$6:$A$17</c:f>
              <c:numCache>
                <c:formatCode>mmm\ yyyy</c:formatCode>
                <c:ptCount val="12"/>
                <c:pt idx="0">
                  <c:v>45962</c:v>
                </c:pt>
                <c:pt idx="1">
                  <c:v>45992</c:v>
                </c:pt>
                <c:pt idx="2">
                  <c:v>46023</c:v>
                </c:pt>
                <c:pt idx="3">
                  <c:v>46054</c:v>
                </c:pt>
                <c:pt idx="4">
                  <c:v>46082</c:v>
                </c:pt>
                <c:pt idx="5">
                  <c:v>46113</c:v>
                </c:pt>
                <c:pt idx="6">
                  <c:v>46143</c:v>
                </c:pt>
                <c:pt idx="7">
                  <c:v>46174</c:v>
                </c:pt>
                <c:pt idx="8">
                  <c:v>46204</c:v>
                </c:pt>
                <c:pt idx="9">
                  <c:v>46235</c:v>
                </c:pt>
                <c:pt idx="10">
                  <c:v>46266</c:v>
                </c:pt>
                <c:pt idx="11">
                  <c:v>46296</c:v>
                </c:pt>
              </c:numCache>
            </c:numRef>
          </c:cat>
          <c:val>
            <c:numRef>
              <c:f>Trend_Data!$C$6:$C$17</c:f>
              <c:numCache>
                <c:formatCode>#,##0.0;[Red]\(#,##0.0\);\-</c:formatCode>
                <c:ptCount val="12"/>
                <c:pt idx="0">
                  <c:v>36.5</c:v>
                </c:pt>
                <c:pt idx="1">
                  <c:v>36.799999999999997</c:v>
                </c:pt>
                <c:pt idx="2">
                  <c:v>37</c:v>
                </c:pt>
                <c:pt idx="3">
                  <c:v>37.299999999999997</c:v>
                </c:pt>
                <c:pt idx="4">
                  <c:v>37.6</c:v>
                </c:pt>
                <c:pt idx="5">
                  <c:v>37.799999999999997</c:v>
                </c:pt>
                <c:pt idx="6">
                  <c:v>38</c:v>
                </c:pt>
                <c:pt idx="7">
                  <c:v>38.299999999999997</c:v>
                </c:pt>
                <c:pt idx="8">
                  <c:v>38.5</c:v>
                </c:pt>
                <c:pt idx="9">
                  <c:v>38.700000000000003</c:v>
                </c:pt>
                <c:pt idx="10">
                  <c:v>37.9</c:v>
                </c:pt>
                <c:pt idx="11">
                  <c:v>39.4</c:v>
                </c:pt>
              </c:numCache>
            </c:numRef>
          </c:val>
          <c:smooth val="0"/>
          <c:extLst>
            <c:ext xmlns:c16="http://schemas.microsoft.com/office/drawing/2014/chart" uri="{C3380CC4-5D6E-409C-BE32-E72D297353CC}">
              <c16:uniqueId val="{00000001-17E7-4C2C-AAFF-FF1D0A98F021}"/>
            </c:ext>
          </c:extLst>
        </c:ser>
        <c:dLbls>
          <c:showLegendKey val="0"/>
          <c:showVal val="0"/>
          <c:showCatName val="0"/>
          <c:showSerName val="0"/>
          <c:showPercent val="0"/>
          <c:showBubbleSize val="0"/>
        </c:dLbls>
        <c:marker val="1"/>
        <c:smooth val="0"/>
        <c:axId val="780278400"/>
        <c:axId val="701754463"/>
      </c:lineChart>
      <c:dateAx>
        <c:axId val="7442535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 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736703"/>
        <c:crosses val="autoZero"/>
        <c:auto val="0"/>
        <c:lblOffset val="100"/>
        <c:baseTimeUnit val="months"/>
        <c:majorUnit val="1"/>
        <c:majorTimeUnit val="months"/>
      </c:dateAx>
      <c:valAx>
        <c:axId val="701736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Fee Revenue (€'000)</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253520"/>
        <c:crosses val="autoZero"/>
        <c:crossBetween val="between"/>
      </c:valAx>
      <c:valAx>
        <c:axId val="70175446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AUA (€bn)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278400"/>
        <c:crosses val="max"/>
        <c:crossBetween val="between"/>
      </c:valAx>
      <c:dateAx>
        <c:axId val="780278400"/>
        <c:scaling>
          <c:orientation val="minMax"/>
        </c:scaling>
        <c:delete val="1"/>
        <c:axPos val="b"/>
        <c:numFmt formatCode="mmm\ yyyy" sourceLinked="1"/>
        <c:majorTickMark val="out"/>
        <c:minorTickMark val="none"/>
        <c:tickLblPos val="nextTo"/>
        <c:crossAx val="701754463"/>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Opex Variance Drivers vs Budget (€'000)</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Variance (€'000)</c:v>
          </c:tx>
          <c:spPr>
            <a:solidFill>
              <a:schemeClr val="accent1"/>
            </a:solidFill>
            <a:ln>
              <a:noFill/>
            </a:ln>
            <a:effectLst/>
          </c:spPr>
          <c:invertIfNegative val="0"/>
          <c:dLbls>
            <c:numFmt formatCode="#,##0;[Red]\(#,##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Trend_Data!$E$7:$E$10</c:f>
              <c:strCache>
                <c:ptCount val="4"/>
                <c:pt idx="0">
                  <c:v>Staff cost variance (temp cover)</c:v>
                </c:pt>
                <c:pt idx="1">
                  <c:v>Technology variance</c:v>
                </c:pt>
                <c:pt idx="2">
                  <c:v>Professional fees variance</c:v>
                </c:pt>
                <c:pt idx="3">
                  <c:v>Other / facilities variance</c:v>
                </c:pt>
              </c:strCache>
            </c:strRef>
          </c:cat>
          <c:val>
            <c:numRef>
              <c:f>Trend_Data!$F$7:$F$10</c:f>
              <c:numCache>
                <c:formatCode>#,##0;[Red]\(#,##0\);\-</c:formatCode>
                <c:ptCount val="4"/>
                <c:pt idx="0">
                  <c:v>52</c:v>
                </c:pt>
                <c:pt idx="1">
                  <c:v>-8</c:v>
                </c:pt>
                <c:pt idx="2">
                  <c:v>10</c:v>
                </c:pt>
                <c:pt idx="3">
                  <c:v>-28</c:v>
                </c:pt>
              </c:numCache>
            </c:numRef>
          </c:val>
          <c:extLst>
            <c:ext xmlns:c16="http://schemas.microsoft.com/office/drawing/2014/chart" uri="{C3380CC4-5D6E-409C-BE32-E72D297353CC}">
              <c16:uniqueId val="{00000000-11F5-4399-957E-43C441E11955}"/>
            </c:ext>
          </c:extLst>
        </c:ser>
        <c:dLbls>
          <c:showLegendKey val="0"/>
          <c:showVal val="0"/>
          <c:showCatName val="0"/>
          <c:showSerName val="0"/>
          <c:showPercent val="0"/>
          <c:showBubbleSize val="0"/>
        </c:dLbls>
        <c:gapWidth val="182"/>
        <c:axId val="778406192"/>
        <c:axId val="701737183"/>
      </c:barChart>
      <c:catAx>
        <c:axId val="7784061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Cost driver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737183"/>
        <c:crosses val="autoZero"/>
        <c:auto val="1"/>
        <c:lblAlgn val="ctr"/>
        <c:lblOffset val="100"/>
        <c:noMultiLvlLbl val="0"/>
      </c:catAx>
      <c:valAx>
        <c:axId val="7017371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Variance (€'000)</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406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Operational Quality | NAV Errors and DSO</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Trend_Data!$H$5</c:f>
              <c:strCache>
                <c:ptCount val="1"/>
                <c:pt idx="0">
                  <c:v>NAV Error Rate (bps)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Trend_Data!$G$6:$G$11</c:f>
              <c:numCache>
                <c:formatCode>mmm\ yyyy</c:formatCode>
                <c:ptCount val="6"/>
                <c:pt idx="0">
                  <c:v>46143</c:v>
                </c:pt>
                <c:pt idx="1">
                  <c:v>46174</c:v>
                </c:pt>
                <c:pt idx="2">
                  <c:v>46204</c:v>
                </c:pt>
                <c:pt idx="3">
                  <c:v>46235</c:v>
                </c:pt>
                <c:pt idx="4">
                  <c:v>46266</c:v>
                </c:pt>
                <c:pt idx="5">
                  <c:v>46296</c:v>
                </c:pt>
              </c:numCache>
            </c:numRef>
          </c:cat>
          <c:val>
            <c:numRef>
              <c:f>Trend_Data!$H$6:$H$11</c:f>
              <c:numCache>
                <c:formatCode>0.0</c:formatCode>
                <c:ptCount val="6"/>
                <c:pt idx="0">
                  <c:v>3.4</c:v>
                </c:pt>
                <c:pt idx="1">
                  <c:v>3</c:v>
                </c:pt>
                <c:pt idx="2">
                  <c:v>2.6</c:v>
                </c:pt>
                <c:pt idx="3">
                  <c:v>2.2999999999999998</c:v>
                </c:pt>
                <c:pt idx="4">
                  <c:v>2</c:v>
                </c:pt>
                <c:pt idx="5">
                  <c:v>1.8</c:v>
                </c:pt>
              </c:numCache>
            </c:numRef>
          </c:val>
          <c:smooth val="0"/>
          <c:extLst>
            <c:ext xmlns:c16="http://schemas.microsoft.com/office/drawing/2014/chart" uri="{C3380CC4-5D6E-409C-BE32-E72D297353CC}">
              <c16:uniqueId val="{00000000-146A-42E2-829B-753D806EA3EA}"/>
            </c:ext>
          </c:extLst>
        </c:ser>
        <c:dLbls>
          <c:showLegendKey val="0"/>
          <c:showVal val="0"/>
          <c:showCatName val="0"/>
          <c:showSerName val="0"/>
          <c:showPercent val="0"/>
          <c:showBubbleSize val="0"/>
        </c:dLbls>
        <c:marker val="1"/>
        <c:smooth val="0"/>
        <c:axId val="737167072"/>
        <c:axId val="701751103"/>
      </c:lineChart>
      <c:lineChart>
        <c:grouping val="standard"/>
        <c:varyColors val="0"/>
        <c:ser>
          <c:idx val="1"/>
          <c:order val="1"/>
          <c:tx>
            <c:strRef>
              <c:f>Trend_Data!$I$5</c:f>
              <c:strCache>
                <c:ptCount val="1"/>
                <c:pt idx="0">
                  <c:v>DSO (days)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Trend_Data!$G$6:$G$11</c:f>
              <c:numCache>
                <c:formatCode>mmm\ yyyy</c:formatCode>
                <c:ptCount val="6"/>
                <c:pt idx="0">
                  <c:v>46143</c:v>
                </c:pt>
                <c:pt idx="1">
                  <c:v>46174</c:v>
                </c:pt>
                <c:pt idx="2">
                  <c:v>46204</c:v>
                </c:pt>
                <c:pt idx="3">
                  <c:v>46235</c:v>
                </c:pt>
                <c:pt idx="4">
                  <c:v>46266</c:v>
                </c:pt>
                <c:pt idx="5">
                  <c:v>46296</c:v>
                </c:pt>
              </c:numCache>
            </c:numRef>
          </c:cat>
          <c:val>
            <c:numRef>
              <c:f>Trend_Data!$I$6:$I$11</c:f>
              <c:numCache>
                <c:formatCode>0</c:formatCode>
                <c:ptCount val="6"/>
                <c:pt idx="0">
                  <c:v>44</c:v>
                </c:pt>
                <c:pt idx="1">
                  <c:v>46</c:v>
                </c:pt>
                <c:pt idx="2">
                  <c:v>45</c:v>
                </c:pt>
                <c:pt idx="3">
                  <c:v>48</c:v>
                </c:pt>
                <c:pt idx="4">
                  <c:v>49</c:v>
                </c:pt>
                <c:pt idx="5">
                  <c:v>47</c:v>
                </c:pt>
              </c:numCache>
            </c:numRef>
          </c:val>
          <c:smooth val="0"/>
          <c:extLst>
            <c:ext xmlns:c16="http://schemas.microsoft.com/office/drawing/2014/chart" uri="{C3380CC4-5D6E-409C-BE32-E72D297353CC}">
              <c16:uniqueId val="{00000001-146A-42E2-829B-753D806EA3EA}"/>
            </c:ext>
          </c:extLst>
        </c:ser>
        <c:dLbls>
          <c:showLegendKey val="0"/>
          <c:showVal val="0"/>
          <c:showCatName val="0"/>
          <c:showSerName val="0"/>
          <c:showPercent val="0"/>
          <c:showBubbleSize val="0"/>
        </c:dLbls>
        <c:marker val="1"/>
        <c:smooth val="0"/>
        <c:axId val="737164288"/>
        <c:axId val="701754943"/>
      </c:lineChart>
      <c:dateAx>
        <c:axId val="7371670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 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751103"/>
        <c:crosses val="autoZero"/>
        <c:auto val="0"/>
        <c:lblOffset val="100"/>
        <c:baseTimeUnit val="months"/>
        <c:majorUnit val="1"/>
        <c:majorTimeUnit val="months"/>
      </c:dateAx>
      <c:valAx>
        <c:axId val="7017511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NAV Error Rate (bps)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167072"/>
        <c:crosses val="autoZero"/>
        <c:crossBetween val="between"/>
      </c:valAx>
      <c:valAx>
        <c:axId val="70175494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DSO (days)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164288"/>
        <c:crosses val="max"/>
        <c:crossBetween val="between"/>
      </c:valAx>
      <c:dateAx>
        <c:axId val="737164288"/>
        <c:scaling>
          <c:orientation val="minMax"/>
        </c:scaling>
        <c:delete val="1"/>
        <c:axPos val="b"/>
        <c:numFmt formatCode="mmm\ yyyy" sourceLinked="1"/>
        <c:majorTickMark val="out"/>
        <c:minorTickMark val="none"/>
        <c:tickLblPos val="nextTo"/>
        <c:crossAx val="701754943"/>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0</xdr:rowOff>
    </xdr:from>
    <xdr:to>
      <xdr:col>7</xdr:col>
      <xdr:colOff>0</xdr:colOff>
      <xdr:row>27</xdr:row>
      <xdr:rowOff>0</xdr:rowOff>
    </xdr:to>
    <xdr:graphicFrame macro="">
      <xdr:nvGraphicFramePr>
        <xdr:cNvPr id="2" name="P&amp;L Comparison">
          <a:extLst>
            <a:ext uri="{FF2B5EF4-FFF2-40B4-BE49-F238E27FC236}">
              <a16:creationId xmlns:a16="http://schemas.microsoft.com/office/drawing/2014/main" id="{9F05E024-6106-F22D-494E-92ECABDF66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11</xdr:row>
      <xdr:rowOff>0</xdr:rowOff>
    </xdr:from>
    <xdr:to>
      <xdr:col>12</xdr:col>
      <xdr:colOff>0</xdr:colOff>
      <xdr:row>27</xdr:row>
      <xdr:rowOff>0</xdr:rowOff>
    </xdr:to>
    <xdr:graphicFrame macro="">
      <xdr:nvGraphicFramePr>
        <xdr:cNvPr id="2" name="Revenue and AUA Trend">
          <a:extLst>
            <a:ext uri="{FF2B5EF4-FFF2-40B4-BE49-F238E27FC236}">
              <a16:creationId xmlns:a16="http://schemas.microsoft.com/office/drawing/2014/main" id="{85529E43-762C-A0D5-36B5-A1AD5C10B4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28</xdr:row>
      <xdr:rowOff>0</xdr:rowOff>
    </xdr:from>
    <xdr:to>
      <xdr:col>6</xdr:col>
      <xdr:colOff>0</xdr:colOff>
      <xdr:row>44</xdr:row>
      <xdr:rowOff>0</xdr:rowOff>
    </xdr:to>
    <xdr:graphicFrame macro="">
      <xdr:nvGraphicFramePr>
        <xdr:cNvPr id="3" name="Opex Variance Drivers">
          <a:extLst>
            <a:ext uri="{FF2B5EF4-FFF2-40B4-BE49-F238E27FC236}">
              <a16:creationId xmlns:a16="http://schemas.microsoft.com/office/drawing/2014/main" id="{97FC523E-07D6-4AC4-EB1B-7D5252FCA5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28</xdr:row>
      <xdr:rowOff>0</xdr:rowOff>
    </xdr:from>
    <xdr:to>
      <xdr:col>12</xdr:col>
      <xdr:colOff>0</xdr:colOff>
      <xdr:row>44</xdr:row>
      <xdr:rowOff>0</xdr:rowOff>
    </xdr:to>
    <xdr:graphicFrame macro="">
      <xdr:nvGraphicFramePr>
        <xdr:cNvPr id="4" name="Operational Quality Trend">
          <a:extLst>
            <a:ext uri="{FF2B5EF4-FFF2-40B4-BE49-F238E27FC236}">
              <a16:creationId xmlns:a16="http://schemas.microsoft.com/office/drawing/2014/main" id="{CBA89160-F29F-8763-FCAE-A0834A55F1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KPI_Model" displayName="tbl_KPI_Model" ref="A5:M15" headerRowDxfId="35">
  <autoFilter ref="A5:M15" xr:uid="{00000000-0009-0000-0100-000004000000}"/>
  <tableColumns count="13">
    <tableColumn id="1" xr3:uid="{00000000-0010-0000-0300-000001000000}" name="KPI"/>
    <tableColumn id="2" xr3:uid="{00000000-0010-0000-0300-000002000000}" name="Category"/>
    <tableColumn id="3" xr3:uid="{00000000-0010-0000-0300-000003000000}" name="Unit"/>
    <tableColumn id="4" xr3:uid="{00000000-0010-0000-0300-000004000000}" name="Favourable Direction"/>
    <tableColumn id="5" xr3:uid="{00000000-0010-0000-0300-000005000000}" name="Actual" dataDxfId="34"/>
    <tableColumn id="6" xr3:uid="{00000000-0010-0000-0300-000006000000}" name="Prior Year" dataDxfId="33"/>
    <tableColumn id="7" xr3:uid="{00000000-0010-0000-0300-000007000000}" name="Budget" dataDxfId="32"/>
    <tableColumn id="8" xr3:uid="{00000000-0010-0000-0300-000008000000}" name="Var vs PY" dataDxfId="31"/>
    <tableColumn id="9" xr3:uid="{00000000-0010-0000-0300-000009000000}" name="Var vs PY %" dataDxfId="21"/>
    <tableColumn id="10" xr3:uid="{00000000-0010-0000-0300-00000A000000}" name="Var vs Budget" dataDxfId="30"/>
    <tableColumn id="11" xr3:uid="{00000000-0010-0000-0300-00000B000000}" name="Var vs Budget %" dataDxfId="20"/>
    <tableColumn id="12" xr3:uid="{00000000-0010-0000-0300-00000C000000}" name="RAG" dataDxfId="29"/>
    <tableColumn id="13" xr3:uid="{00000000-0010-0000-0300-00000D000000}" name="Management Driver" dataDxfId="2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Inputs_Actuals" displayName="tbl_Inputs_Actuals" ref="A5:D15" headerRowDxfId="27">
  <autoFilter ref="A5:D15" xr:uid="{00000000-0009-0000-0100-000001000000}"/>
  <tableColumns count="4">
    <tableColumn id="1" xr3:uid="{00000000-0010-0000-0000-000001000000}" name="KPI"/>
    <tableColumn id="2" xr3:uid="{00000000-0010-0000-0000-000002000000}" name="Category"/>
    <tableColumn id="3" xr3:uid="{00000000-0010-0000-0000-000003000000}" name="Unit"/>
    <tableColumn id="4" xr3:uid="{00000000-0010-0000-0000-000004000000}" name="Actual" dataDxfId="2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Inputs_PriorYear" displayName="tbl_Inputs_PriorYear" ref="A5:D15" headerRowDxfId="25">
  <autoFilter ref="A5:D15" xr:uid="{00000000-0009-0000-0100-000002000000}"/>
  <tableColumns count="4">
    <tableColumn id="1" xr3:uid="{00000000-0010-0000-0100-000001000000}" name="KPI"/>
    <tableColumn id="2" xr3:uid="{00000000-0010-0000-0100-000002000000}" name="Category"/>
    <tableColumn id="3" xr3:uid="{00000000-0010-0000-0100-000003000000}" name="Unit"/>
    <tableColumn id="4" xr3:uid="{00000000-0010-0000-0100-000004000000}" name="PY Actual" dataDxfId="2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Inputs_Budget" displayName="tbl_Inputs_Budget" ref="A5:D15" headerRowDxfId="23">
  <autoFilter ref="A5:D15" xr:uid="{00000000-0009-0000-0100-000003000000}"/>
  <tableColumns count="4">
    <tableColumn id="1" xr3:uid="{00000000-0010-0000-0200-000001000000}" name="KPI"/>
    <tableColumn id="2" xr3:uid="{00000000-0010-0000-0200-000002000000}" name="Category"/>
    <tableColumn id="3" xr3:uid="{00000000-0010-0000-0200-000003000000}" name="Unit"/>
    <tableColumn id="4" xr3:uid="{00000000-0010-0000-0200-000004000000}" name="Budget" dataDxfId="2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4.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pageSetUpPr fitToPage="1"/>
  </sheetPr>
  <dimension ref="A1:F56"/>
  <sheetViews>
    <sheetView showGridLines="0" workbookViewId="0">
      <selection sqref="A1:C1"/>
    </sheetView>
  </sheetViews>
  <sheetFormatPr defaultRowHeight="14.5" x14ac:dyDescent="0.35"/>
  <cols>
    <col min="1" max="1" width="36.36328125" customWidth="1"/>
    <col min="2" max="2" width="20.90625" customWidth="1"/>
    <col min="3" max="3" width="43.90625" customWidth="1"/>
  </cols>
  <sheetData>
    <row r="1" spans="1:3" x14ac:dyDescent="0.35">
      <c r="A1" s="49"/>
      <c r="B1" s="49"/>
      <c r="C1" s="49"/>
    </row>
    <row r="3" spans="1:3" ht="28" x14ac:dyDescent="0.6">
      <c r="A3" s="56" t="s">
        <v>0</v>
      </c>
      <c r="B3" s="55"/>
      <c r="C3" s="55"/>
    </row>
    <row r="4" spans="1:3" ht="15.5" x14ac:dyDescent="0.35">
      <c r="A4" s="54" t="s">
        <v>123</v>
      </c>
      <c r="B4" s="55"/>
      <c r="C4" s="55"/>
    </row>
    <row r="6" spans="1:3" ht="19" x14ac:dyDescent="0.4">
      <c r="A6" s="61" t="s">
        <v>1</v>
      </c>
      <c r="B6" s="55"/>
      <c r="C6" s="55"/>
    </row>
    <row r="7" spans="1:3" x14ac:dyDescent="0.35">
      <c r="A7" s="64" t="s">
        <v>2</v>
      </c>
      <c r="B7" s="55"/>
      <c r="C7" s="55"/>
    </row>
    <row r="9" spans="1:3" x14ac:dyDescent="0.35">
      <c r="A9" s="1" t="s">
        <v>3</v>
      </c>
      <c r="B9" s="52" t="s">
        <v>4</v>
      </c>
      <c r="C9" s="53"/>
    </row>
    <row r="10" spans="1:3" x14ac:dyDescent="0.35">
      <c r="A10" s="1" t="s">
        <v>5</v>
      </c>
      <c r="B10" s="52" t="s">
        <v>130</v>
      </c>
      <c r="C10" s="53"/>
    </row>
    <row r="11" spans="1:3" x14ac:dyDescent="0.35">
      <c r="A11" s="1" t="s">
        <v>6</v>
      </c>
      <c r="B11" s="62">
        <v>46331</v>
      </c>
      <c r="C11" s="63"/>
    </row>
    <row r="12" spans="1:3" x14ac:dyDescent="0.35">
      <c r="A12" s="1" t="s">
        <v>7</v>
      </c>
      <c r="B12" s="52" t="s">
        <v>129</v>
      </c>
      <c r="C12" s="53"/>
    </row>
    <row r="13" spans="1:3" x14ac:dyDescent="0.35">
      <c r="A13" s="41"/>
    </row>
    <row r="14" spans="1:3" x14ac:dyDescent="0.35">
      <c r="A14" s="59" t="s">
        <v>8</v>
      </c>
      <c r="B14" s="60"/>
      <c r="C14" s="60"/>
    </row>
    <row r="15" spans="1:3" x14ac:dyDescent="0.35">
      <c r="A15" s="50" t="s">
        <v>9</v>
      </c>
      <c r="B15" s="51"/>
      <c r="C15" s="51"/>
    </row>
    <row r="16" spans="1:3" x14ac:dyDescent="0.35">
      <c r="A16" s="51"/>
      <c r="B16" s="51"/>
      <c r="C16" s="51"/>
    </row>
    <row r="17" spans="1:3" x14ac:dyDescent="0.35">
      <c r="A17" s="51"/>
      <c r="B17" s="51"/>
      <c r="C17" s="51"/>
    </row>
    <row r="18" spans="1:3" x14ac:dyDescent="0.35">
      <c r="A18" s="51"/>
      <c r="B18" s="51"/>
      <c r="C18" s="51"/>
    </row>
    <row r="20" spans="1:3" x14ac:dyDescent="0.35">
      <c r="A20" s="65" t="s">
        <v>131</v>
      </c>
      <c r="B20" s="65"/>
      <c r="C20" s="65"/>
    </row>
    <row r="21" spans="1:3" x14ac:dyDescent="0.35">
      <c r="A21" s="29" t="s">
        <v>132</v>
      </c>
      <c r="B21" s="57" t="s">
        <v>133</v>
      </c>
      <c r="C21" s="57"/>
    </row>
    <row r="22" spans="1:3" x14ac:dyDescent="0.35">
      <c r="A22" s="40" t="s">
        <v>134</v>
      </c>
      <c r="B22" s="58" t="s">
        <v>135</v>
      </c>
      <c r="C22" s="58"/>
    </row>
    <row r="23" spans="1:3" x14ac:dyDescent="0.35">
      <c r="A23" s="40" t="s">
        <v>136</v>
      </c>
      <c r="B23" s="58" t="s">
        <v>137</v>
      </c>
      <c r="C23" s="58"/>
    </row>
    <row r="24" spans="1:3" x14ac:dyDescent="0.35">
      <c r="A24" s="40" t="s">
        <v>138</v>
      </c>
      <c r="B24" s="58" t="s">
        <v>154</v>
      </c>
      <c r="C24" s="58"/>
    </row>
    <row r="25" spans="1:3" x14ac:dyDescent="0.35">
      <c r="A25" s="40" t="s">
        <v>139</v>
      </c>
      <c r="B25" s="58" t="s">
        <v>140</v>
      </c>
      <c r="C25" s="58"/>
    </row>
    <row r="26" spans="1:3" x14ac:dyDescent="0.35">
      <c r="A26" s="40" t="s">
        <v>141</v>
      </c>
      <c r="B26" s="58" t="s">
        <v>142</v>
      </c>
      <c r="C26" s="58"/>
    </row>
    <row r="27" spans="1:3" x14ac:dyDescent="0.35">
      <c r="A27" s="40" t="s">
        <v>143</v>
      </c>
      <c r="B27" s="58" t="s">
        <v>144</v>
      </c>
      <c r="C27" s="58"/>
    </row>
    <row r="28" spans="1:3" x14ac:dyDescent="0.35">
      <c r="A28" s="40" t="s">
        <v>145</v>
      </c>
      <c r="B28" s="58" t="s">
        <v>146</v>
      </c>
      <c r="C28" s="58"/>
    </row>
    <row r="29" spans="1:3" x14ac:dyDescent="0.35">
      <c r="A29" s="40" t="s">
        <v>147</v>
      </c>
      <c r="B29" s="58" t="s">
        <v>148</v>
      </c>
      <c r="C29" s="58"/>
    </row>
    <row r="30" spans="1:3" x14ac:dyDescent="0.35">
      <c r="A30" s="40" t="s">
        <v>219</v>
      </c>
      <c r="B30" s="80" t="s">
        <v>222</v>
      </c>
      <c r="C30" s="80"/>
    </row>
    <row r="31" spans="1:3" x14ac:dyDescent="0.35">
      <c r="A31" s="40" t="s">
        <v>220</v>
      </c>
      <c r="B31" s="80" t="s">
        <v>223</v>
      </c>
      <c r="C31" s="80"/>
    </row>
    <row r="32" spans="1:3" x14ac:dyDescent="0.35">
      <c r="A32" s="40" t="s">
        <v>221</v>
      </c>
      <c r="B32" s="80" t="s">
        <v>224</v>
      </c>
      <c r="C32" s="80"/>
    </row>
    <row r="33" spans="1:3" x14ac:dyDescent="0.35">
      <c r="A33" s="28"/>
      <c r="B33" s="28"/>
      <c r="C33" s="28"/>
    </row>
    <row r="34" spans="1:3" x14ac:dyDescent="0.35">
      <c r="A34" s="65" t="s">
        <v>149</v>
      </c>
      <c r="B34" s="111"/>
      <c r="C34" s="111"/>
    </row>
    <row r="35" spans="1:3" x14ac:dyDescent="0.35">
      <c r="A35" s="66" t="s">
        <v>150</v>
      </c>
      <c r="B35" s="66"/>
      <c r="C35" s="66"/>
    </row>
    <row r="36" spans="1:3" x14ac:dyDescent="0.35">
      <c r="A36" s="66"/>
      <c r="B36" s="66"/>
      <c r="C36" s="66"/>
    </row>
    <row r="38" spans="1:3" x14ac:dyDescent="0.35">
      <c r="A38" s="83" t="s">
        <v>225</v>
      </c>
      <c r="B38" s="83"/>
      <c r="C38" s="83"/>
    </row>
    <row r="39" spans="1:3" x14ac:dyDescent="0.35">
      <c r="A39" s="85" t="s">
        <v>226</v>
      </c>
      <c r="B39" s="92" t="s">
        <v>227</v>
      </c>
      <c r="C39" s="92"/>
    </row>
    <row r="40" spans="1:3" x14ac:dyDescent="0.35">
      <c r="A40" s="86" t="s">
        <v>228</v>
      </c>
      <c r="B40" s="55" t="s">
        <v>229</v>
      </c>
      <c r="C40" s="55"/>
    </row>
    <row r="41" spans="1:3" x14ac:dyDescent="0.35">
      <c r="A41" s="86" t="s">
        <v>5</v>
      </c>
      <c r="B41" s="55" t="s">
        <v>230</v>
      </c>
      <c r="C41" s="55"/>
    </row>
    <row r="42" spans="1:3" x14ac:dyDescent="0.35">
      <c r="A42" s="86" t="s">
        <v>3</v>
      </c>
      <c r="B42" s="100" t="s">
        <v>4</v>
      </c>
      <c r="C42" s="55"/>
    </row>
    <row r="43" spans="1:3" x14ac:dyDescent="0.35">
      <c r="A43" s="86" t="s">
        <v>7</v>
      </c>
      <c r="B43" s="79" t="s">
        <v>231</v>
      </c>
      <c r="C43" s="79"/>
    </row>
    <row r="44" spans="1:3" x14ac:dyDescent="0.35">
      <c r="A44" s="86" t="s">
        <v>232</v>
      </c>
      <c r="B44" s="79" t="s">
        <v>233</v>
      </c>
      <c r="C44" s="79"/>
    </row>
    <row r="45" spans="1:3" x14ac:dyDescent="0.35">
      <c r="A45" s="86" t="s">
        <v>234</v>
      </c>
      <c r="B45" s="112">
        <f>DATE(2026,10,31)</f>
        <v>46326</v>
      </c>
      <c r="C45" s="113"/>
    </row>
    <row r="47" spans="1:3" x14ac:dyDescent="0.35">
      <c r="A47" s="83" t="s">
        <v>235</v>
      </c>
      <c r="B47" s="83"/>
      <c r="C47" s="83"/>
    </row>
    <row r="48" spans="1:3" x14ac:dyDescent="0.35">
      <c r="A48" s="85" t="s">
        <v>236</v>
      </c>
      <c r="B48" s="92" t="s">
        <v>7</v>
      </c>
      <c r="C48" s="92"/>
    </row>
    <row r="49" spans="1:6" x14ac:dyDescent="0.35">
      <c r="A49" s="86" t="s">
        <v>237</v>
      </c>
      <c r="B49" s="97" t="s">
        <v>238</v>
      </c>
      <c r="C49" s="97"/>
    </row>
    <row r="50" spans="1:6" x14ac:dyDescent="0.35">
      <c r="A50" s="86" t="s">
        <v>239</v>
      </c>
      <c r="B50" s="97" t="s">
        <v>238</v>
      </c>
      <c r="C50" s="97"/>
    </row>
    <row r="51" spans="1:6" x14ac:dyDescent="0.35">
      <c r="A51" s="86" t="s">
        <v>240</v>
      </c>
      <c r="B51" s="98" t="s">
        <v>238</v>
      </c>
      <c r="C51" s="98"/>
    </row>
    <row r="52" spans="1:6" x14ac:dyDescent="0.35">
      <c r="A52" s="86" t="s">
        <v>241</v>
      </c>
      <c r="B52" s="98" t="s">
        <v>238</v>
      </c>
      <c r="C52" s="98"/>
    </row>
    <row r="53" spans="1:6" x14ac:dyDescent="0.35">
      <c r="A53" s="86" t="s">
        <v>242</v>
      </c>
      <c r="B53" s="98" t="s">
        <v>238</v>
      </c>
      <c r="C53" s="98"/>
    </row>
    <row r="56" spans="1:6" ht="20" customHeight="1" x14ac:dyDescent="0.35">
      <c r="A56" s="47" t="s">
        <v>155</v>
      </c>
      <c r="B56" s="48"/>
      <c r="C56" s="48"/>
      <c r="D56" s="48"/>
      <c r="E56" s="48"/>
      <c r="F56" s="48"/>
    </row>
  </sheetData>
  <mergeCells count="42">
    <mergeCell ref="A56:F56"/>
    <mergeCell ref="B49:C49"/>
    <mergeCell ref="B50:C50"/>
    <mergeCell ref="B51:C51"/>
    <mergeCell ref="B52:C52"/>
    <mergeCell ref="B53:C53"/>
    <mergeCell ref="B43:C43"/>
    <mergeCell ref="B44:C44"/>
    <mergeCell ref="B45:C45"/>
    <mergeCell ref="A47:C47"/>
    <mergeCell ref="B48:C48"/>
    <mergeCell ref="A38:C38"/>
    <mergeCell ref="B39:C39"/>
    <mergeCell ref="B40:C40"/>
    <mergeCell ref="B41:C41"/>
    <mergeCell ref="B42:C42"/>
    <mergeCell ref="B29:C29"/>
    <mergeCell ref="A34:C34"/>
    <mergeCell ref="A35:C36"/>
    <mergeCell ref="B30:C30"/>
    <mergeCell ref="B31:C31"/>
    <mergeCell ref="B32:C32"/>
    <mergeCell ref="B12:C12"/>
    <mergeCell ref="B11:C11"/>
    <mergeCell ref="A7:C7"/>
    <mergeCell ref="A20:C20"/>
    <mergeCell ref="B28:C28"/>
    <mergeCell ref="A1:C1"/>
    <mergeCell ref="A15:C18"/>
    <mergeCell ref="B10:C10"/>
    <mergeCell ref="A4:C4"/>
    <mergeCell ref="A3:C3"/>
    <mergeCell ref="B21:C21"/>
    <mergeCell ref="B22:C22"/>
    <mergeCell ref="B23:C23"/>
    <mergeCell ref="B24:C24"/>
    <mergeCell ref="B25:C25"/>
    <mergeCell ref="B26:C26"/>
    <mergeCell ref="B27:C27"/>
    <mergeCell ref="B9:C9"/>
    <mergeCell ref="A14:C14"/>
    <mergeCell ref="A6:C6"/>
  </mergeCells>
  <pageMargins left="0.25" right="0.25" top="0.5" bottom="0.5"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pageSetUpPr fitToPage="1"/>
  </sheetPr>
  <dimension ref="A1:F24"/>
  <sheetViews>
    <sheetView showGridLines="0" topLeftCell="A12" workbookViewId="0">
      <selection activeCell="A24" sqref="A24:XFD24"/>
    </sheetView>
  </sheetViews>
  <sheetFormatPr defaultRowHeight="14.5" x14ac:dyDescent="0.35"/>
  <cols>
    <col min="1" max="1" width="28.1796875" customWidth="1"/>
    <col min="2" max="3" width="12.7265625" customWidth="1"/>
    <col min="4" max="4" width="16" customWidth="1"/>
    <col min="5" max="5" width="10.54296875" customWidth="1"/>
    <col min="6" max="6" width="44.54296875" customWidth="1"/>
  </cols>
  <sheetData>
    <row r="1" spans="1:6" ht="23.5" x14ac:dyDescent="0.35">
      <c r="A1" s="45" t="s">
        <v>10</v>
      </c>
      <c r="B1" s="69"/>
      <c r="C1" s="69"/>
      <c r="D1" s="69"/>
      <c r="E1" s="69"/>
      <c r="F1" s="69"/>
    </row>
    <row r="2" spans="1:6" x14ac:dyDescent="0.35">
      <c r="A2" s="46" t="s">
        <v>11</v>
      </c>
      <c r="B2" s="67"/>
      <c r="C2" s="67"/>
      <c r="D2" s="67"/>
      <c r="E2" s="67"/>
      <c r="F2" s="67"/>
    </row>
    <row r="4" spans="1:6" x14ac:dyDescent="0.35">
      <c r="A4" s="68" t="s">
        <v>124</v>
      </c>
      <c r="B4" s="65"/>
      <c r="C4" s="65"/>
      <c r="D4" s="65"/>
      <c r="E4" s="65"/>
      <c r="F4" s="65"/>
    </row>
    <row r="5" spans="1:6" x14ac:dyDescent="0.35">
      <c r="A5" s="33" t="s">
        <v>12</v>
      </c>
      <c r="B5" s="33" t="s">
        <v>13</v>
      </c>
      <c r="C5" s="33" t="s">
        <v>14</v>
      </c>
      <c r="D5" s="33" t="s">
        <v>15</v>
      </c>
      <c r="E5" s="33" t="s">
        <v>16</v>
      </c>
      <c r="F5" s="33" t="s">
        <v>17</v>
      </c>
    </row>
    <row r="6" spans="1:6" ht="24" x14ac:dyDescent="0.35">
      <c r="A6" s="3" t="s">
        <v>18</v>
      </c>
      <c r="B6" s="4">
        <f>KPI_Model!E6</f>
        <v>2180</v>
      </c>
      <c r="C6" s="4">
        <f>KPI_Model!G6</f>
        <v>2220</v>
      </c>
      <c r="D6" s="103">
        <f>KPI_Model!K6</f>
        <v>-1.8018018018018056E-2</v>
      </c>
      <c r="E6" s="5" t="str">
        <f>KPI_Model!L6</f>
        <v>Green</v>
      </c>
      <c r="F6" s="6" t="s">
        <v>88</v>
      </c>
    </row>
    <row r="7" spans="1:6" ht="24" x14ac:dyDescent="0.35">
      <c r="A7" s="3" t="s">
        <v>19</v>
      </c>
      <c r="B7" s="25">
        <f>KPI_Model!E11</f>
        <v>0.29199999999999998</v>
      </c>
      <c r="C7" s="25">
        <f>KPI_Model!G11</f>
        <v>0.317</v>
      </c>
      <c r="D7" s="7">
        <f>KPI_Model!J11</f>
        <v>-2.5000000000000022</v>
      </c>
      <c r="E7" s="5" t="str">
        <f>KPI_Model!L11</f>
        <v>Amber</v>
      </c>
      <c r="F7" s="6" t="s">
        <v>89</v>
      </c>
    </row>
    <row r="8" spans="1:6" ht="24" x14ac:dyDescent="0.35">
      <c r="A8" s="3" t="s">
        <v>20</v>
      </c>
      <c r="B8" s="9">
        <f>KPI_Model!E12</f>
        <v>39.4</v>
      </c>
      <c r="C8" s="9">
        <f>KPI_Model!G12</f>
        <v>39</v>
      </c>
      <c r="D8" s="103">
        <f>KPI_Model!K12</f>
        <v>1.025641025641022E-2</v>
      </c>
      <c r="E8" s="5" t="str">
        <f>KPI_Model!L12</f>
        <v>Green</v>
      </c>
      <c r="F8" s="6" t="s">
        <v>90</v>
      </c>
    </row>
    <row r="9" spans="1:6" x14ac:dyDescent="0.35">
      <c r="A9" s="3" t="s">
        <v>21</v>
      </c>
      <c r="B9" s="9">
        <f>KPI_Model!E14</f>
        <v>1.8</v>
      </c>
      <c r="C9" s="9">
        <f>KPI_Model!G14</f>
        <v>2.5</v>
      </c>
      <c r="D9" s="10">
        <f>KPI_Model!J14</f>
        <v>-0.7</v>
      </c>
      <c r="E9" s="5" t="str">
        <f>KPI_Model!L14</f>
        <v>Green</v>
      </c>
      <c r="F9" s="6" t="s">
        <v>91</v>
      </c>
    </row>
    <row r="10" spans="1:6" ht="29" x14ac:dyDescent="0.35">
      <c r="A10" t="s">
        <v>92</v>
      </c>
      <c r="B10" s="24">
        <f>KPI_Model!E13</f>
        <v>47</v>
      </c>
      <c r="C10" s="24">
        <f>KPI_Model!G13</f>
        <v>42</v>
      </c>
      <c r="D10" s="26">
        <f>KPI_Model!J13</f>
        <v>5</v>
      </c>
      <c r="E10" t="str">
        <f>KPI_Model!L13</f>
        <v>Amber</v>
      </c>
      <c r="F10" s="28" t="s">
        <v>93</v>
      </c>
    </row>
    <row r="11" spans="1:6" ht="29" x14ac:dyDescent="0.35">
      <c r="A11" t="s">
        <v>94</v>
      </c>
      <c r="B11" s="27">
        <f>KPI_Model!E10</f>
        <v>637</v>
      </c>
      <c r="C11" s="27">
        <f>KPI_Model!G10</f>
        <v>703</v>
      </c>
      <c r="D11" s="104">
        <f>KPI_Model!K10</f>
        <v>-9.3883357041251725E-2</v>
      </c>
      <c r="E11" t="str">
        <f>KPI_Model!L10</f>
        <v>Amber</v>
      </c>
      <c r="F11" s="28" t="s">
        <v>95</v>
      </c>
    </row>
    <row r="12" spans="1:6" x14ac:dyDescent="0.35">
      <c r="A12" s="68" t="s">
        <v>125</v>
      </c>
      <c r="B12" s="65"/>
      <c r="C12" s="65"/>
      <c r="D12" s="65"/>
      <c r="E12" s="65"/>
      <c r="F12" s="65"/>
    </row>
    <row r="13" spans="1:6" x14ac:dyDescent="0.35">
      <c r="A13" s="50" t="s">
        <v>96</v>
      </c>
      <c r="B13" s="51"/>
      <c r="C13" s="51"/>
      <c r="D13" s="51"/>
      <c r="E13" s="51"/>
      <c r="F13" s="51"/>
    </row>
    <row r="14" spans="1:6" x14ac:dyDescent="0.35">
      <c r="A14" s="50" t="s">
        <v>97</v>
      </c>
      <c r="B14" s="51"/>
      <c r="C14" s="51"/>
      <c r="D14" s="51"/>
      <c r="E14" s="51"/>
      <c r="F14" s="51"/>
    </row>
    <row r="15" spans="1:6" x14ac:dyDescent="0.35">
      <c r="A15" s="50" t="s">
        <v>98</v>
      </c>
      <c r="B15" s="51"/>
      <c r="C15" s="51"/>
      <c r="D15" s="51"/>
      <c r="E15" s="51"/>
      <c r="F15" s="51"/>
    </row>
    <row r="16" spans="1:6" x14ac:dyDescent="0.35">
      <c r="A16" s="50" t="s">
        <v>99</v>
      </c>
      <c r="B16" s="51"/>
      <c r="C16" s="51"/>
      <c r="D16" s="51"/>
      <c r="E16" s="51"/>
      <c r="F16" s="51"/>
    </row>
    <row r="17" spans="1:6" x14ac:dyDescent="0.35">
      <c r="A17" s="50" t="s">
        <v>100</v>
      </c>
      <c r="B17" s="51"/>
      <c r="C17" s="51"/>
      <c r="D17" s="51"/>
      <c r="E17" s="51"/>
      <c r="F17" s="51"/>
    </row>
    <row r="19" spans="1:6" x14ac:dyDescent="0.35">
      <c r="A19" s="68" t="s">
        <v>126</v>
      </c>
      <c r="B19" s="65"/>
      <c r="C19" s="65"/>
      <c r="D19" s="65"/>
      <c r="E19" s="65"/>
      <c r="F19" s="65"/>
    </row>
    <row r="20" spans="1:6" x14ac:dyDescent="0.35">
      <c r="A20" s="70" t="s">
        <v>101</v>
      </c>
      <c r="B20" s="51"/>
      <c r="C20" s="51"/>
      <c r="D20" s="51"/>
      <c r="E20" s="51"/>
      <c r="F20" s="51"/>
    </row>
    <row r="21" spans="1:6" x14ac:dyDescent="0.35">
      <c r="A21" s="51"/>
      <c r="B21" s="51"/>
      <c r="C21" s="51"/>
      <c r="D21" s="51"/>
      <c r="E21" s="51"/>
      <c r="F21" s="51"/>
    </row>
    <row r="24" spans="1:6" ht="20" customHeight="1" x14ac:dyDescent="0.35">
      <c r="A24" s="47" t="s">
        <v>155</v>
      </c>
      <c r="B24" s="48"/>
      <c r="C24" s="48"/>
      <c r="D24" s="48"/>
      <c r="E24" s="48"/>
      <c r="F24" s="48"/>
    </row>
  </sheetData>
  <mergeCells count="12">
    <mergeCell ref="A1:F1"/>
    <mergeCell ref="A17:F17"/>
    <mergeCell ref="A12:F12"/>
    <mergeCell ref="A4:F4"/>
    <mergeCell ref="A20:F21"/>
    <mergeCell ref="A15:F15"/>
    <mergeCell ref="A24:F24"/>
    <mergeCell ref="A2:F2"/>
    <mergeCell ref="A16:F16"/>
    <mergeCell ref="A13:F13"/>
    <mergeCell ref="A14:F14"/>
    <mergeCell ref="A19:F19"/>
  </mergeCells>
  <conditionalFormatting sqref="E6:E9">
    <cfRule type="expression" dxfId="19" priority="1">
      <formula>E6="Green"</formula>
    </cfRule>
    <cfRule type="expression" dxfId="18" priority="2">
      <formula>E6="Amber"</formula>
    </cfRule>
    <cfRule type="expression" dxfId="17" priority="3">
      <formula>E6="Red"</formula>
    </cfRule>
  </conditionalFormatting>
  <conditionalFormatting sqref="E6:E11">
    <cfRule type="expression" dxfId="16" priority="4">
      <formula>$E6="Green"</formula>
    </cfRule>
    <cfRule type="expression" dxfId="15" priority="5">
      <formula>$E6="Amber"</formula>
    </cfRule>
    <cfRule type="expression" dxfId="14" priority="6">
      <formula>$E6="Red"</formula>
    </cfRule>
  </conditionalFormatting>
  <pageMargins left="0.25" right="0.25" top="0.5" bottom="0.5"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BB729-B9E4-435F-BFA2-568E355A9E95}">
  <sheetPr>
    <tabColor rgb="FF002060"/>
  </sheetPr>
  <dimension ref="A1:G34"/>
  <sheetViews>
    <sheetView showGridLines="0" topLeftCell="A33" workbookViewId="0">
      <selection activeCell="H13" sqref="H13"/>
    </sheetView>
  </sheetViews>
  <sheetFormatPr defaultRowHeight="14.5" x14ac:dyDescent="0.35"/>
  <cols>
    <col min="1" max="1" width="30" customWidth="1"/>
    <col min="2" max="6" width="12.36328125" customWidth="1"/>
    <col min="7" max="7" width="40.36328125" customWidth="1"/>
  </cols>
  <sheetData>
    <row r="1" spans="1:7" ht="23.5" x14ac:dyDescent="0.35">
      <c r="A1" s="69" t="s">
        <v>104</v>
      </c>
      <c r="B1" s="69"/>
      <c r="C1" s="69"/>
      <c r="D1" s="69"/>
      <c r="E1" s="69"/>
      <c r="F1" s="69"/>
      <c r="G1" s="69"/>
    </row>
    <row r="2" spans="1:7" x14ac:dyDescent="0.35">
      <c r="A2" s="67" t="s">
        <v>11</v>
      </c>
      <c r="B2" s="67"/>
      <c r="C2" s="67"/>
      <c r="D2" s="67"/>
      <c r="E2" s="67"/>
      <c r="F2" s="67"/>
      <c r="G2" s="67"/>
    </row>
    <row r="3" spans="1:7" x14ac:dyDescent="0.35">
      <c r="A3" s="66" t="s">
        <v>105</v>
      </c>
      <c r="B3" s="66"/>
      <c r="C3" s="66"/>
      <c r="D3" s="66"/>
      <c r="E3" s="66"/>
      <c r="F3" s="66"/>
      <c r="G3" s="66"/>
    </row>
    <row r="4" spans="1:7" x14ac:dyDescent="0.35">
      <c r="A4" s="66"/>
      <c r="B4" s="66"/>
      <c r="C4" s="66"/>
      <c r="D4" s="66"/>
      <c r="E4" s="66"/>
      <c r="F4" s="66"/>
      <c r="G4" s="66"/>
    </row>
    <row r="5" spans="1:7" x14ac:dyDescent="0.35">
      <c r="A5" s="30" t="s">
        <v>151</v>
      </c>
      <c r="B5" s="30" t="s">
        <v>13</v>
      </c>
      <c r="C5" s="30" t="s">
        <v>53</v>
      </c>
      <c r="D5" s="30" t="s">
        <v>14</v>
      </c>
      <c r="E5" s="30" t="s">
        <v>54</v>
      </c>
      <c r="F5" s="30" t="s">
        <v>15</v>
      </c>
      <c r="G5" s="30" t="s">
        <v>106</v>
      </c>
    </row>
    <row r="6" spans="1:7" ht="29" x14ac:dyDescent="0.35">
      <c r="A6" t="s">
        <v>107</v>
      </c>
      <c r="B6" s="27">
        <f>KPI_Model!E6</f>
        <v>2180</v>
      </c>
      <c r="C6" s="27">
        <f>KPI_Model!F6</f>
        <v>2053</v>
      </c>
      <c r="D6" s="27">
        <f>KPI_Model!G6</f>
        <v>2220</v>
      </c>
      <c r="E6" s="27">
        <f>B6-C6</f>
        <v>127</v>
      </c>
      <c r="F6" s="27">
        <f>B6-D6</f>
        <v>-40</v>
      </c>
      <c r="G6" s="28" t="s">
        <v>108</v>
      </c>
    </row>
    <row r="7" spans="1:7" ht="29" x14ac:dyDescent="0.35">
      <c r="A7" t="s">
        <v>109</v>
      </c>
      <c r="B7" s="27">
        <f>KPI_Model!E8</f>
        <v>1543</v>
      </c>
      <c r="C7" s="27">
        <f>KPI_Model!F8</f>
        <v>1468</v>
      </c>
      <c r="D7" s="27">
        <f>KPI_Model!G8</f>
        <v>1517</v>
      </c>
      <c r="E7" s="27">
        <f>B7-C7</f>
        <v>75</v>
      </c>
      <c r="F7" s="27">
        <f>B7-D7</f>
        <v>26</v>
      </c>
      <c r="G7" s="28" t="s">
        <v>110</v>
      </c>
    </row>
    <row r="8" spans="1:7" ht="29" x14ac:dyDescent="0.35">
      <c r="A8" t="s">
        <v>34</v>
      </c>
      <c r="B8" s="27">
        <f>KPI_Model!E10</f>
        <v>637</v>
      </c>
      <c r="C8" s="27">
        <f>KPI_Model!F10</f>
        <v>585</v>
      </c>
      <c r="D8" s="27">
        <f>KPI_Model!G10</f>
        <v>703</v>
      </c>
      <c r="E8" s="27">
        <f>B8-C8</f>
        <v>52</v>
      </c>
      <c r="F8" s="27">
        <f>B8-D8</f>
        <v>-66</v>
      </c>
      <c r="G8" s="28" t="s">
        <v>111</v>
      </c>
    </row>
    <row r="9" spans="1:7" ht="29" x14ac:dyDescent="0.35">
      <c r="A9" t="s">
        <v>36</v>
      </c>
      <c r="B9" s="31">
        <f>KPI_Model!E11</f>
        <v>0.29199999999999998</v>
      </c>
      <c r="C9" s="31">
        <f>KPI_Model!F11</f>
        <v>0.28499999999999998</v>
      </c>
      <c r="D9" s="31">
        <f>KPI_Model!G11</f>
        <v>0.317</v>
      </c>
      <c r="E9" s="32">
        <f>(B9-C9)*100</f>
        <v>0.70000000000000062</v>
      </c>
      <c r="F9" s="32">
        <f>(B9-D9)*100</f>
        <v>-2.5000000000000022</v>
      </c>
      <c r="G9" s="28" t="s">
        <v>112</v>
      </c>
    </row>
    <row r="12" spans="1:7" x14ac:dyDescent="0.35">
      <c r="A12" s="65" t="s">
        <v>113</v>
      </c>
      <c r="B12" s="65"/>
      <c r="C12" s="65"/>
      <c r="D12" s="65"/>
      <c r="E12" s="65"/>
      <c r="F12" s="65"/>
      <c r="G12" s="65"/>
    </row>
    <row r="29" spans="1:7" x14ac:dyDescent="0.35">
      <c r="A29" s="65" t="s">
        <v>114</v>
      </c>
      <c r="B29" s="65"/>
      <c r="C29" s="65"/>
      <c r="D29" s="65"/>
      <c r="E29" s="65"/>
      <c r="F29" s="65"/>
      <c r="G29" s="65"/>
    </row>
    <row r="30" spans="1:7" x14ac:dyDescent="0.35">
      <c r="A30" s="66" t="s">
        <v>115</v>
      </c>
      <c r="B30" s="66"/>
      <c r="C30" s="66"/>
      <c r="D30" s="66"/>
      <c r="E30" s="66"/>
      <c r="F30" s="66"/>
      <c r="G30" s="66"/>
    </row>
    <row r="31" spans="1:7" x14ac:dyDescent="0.35">
      <c r="A31" s="66"/>
      <c r="B31" s="66"/>
      <c r="C31" s="66"/>
      <c r="D31" s="66"/>
      <c r="E31" s="66"/>
      <c r="F31" s="66"/>
      <c r="G31" s="66"/>
    </row>
    <row r="32" spans="1:7" x14ac:dyDescent="0.35">
      <c r="A32" s="66"/>
      <c r="B32" s="66"/>
      <c r="C32" s="66"/>
      <c r="D32" s="66"/>
      <c r="E32" s="66"/>
      <c r="F32" s="66"/>
      <c r="G32" s="66"/>
    </row>
    <row r="34" spans="1:7" ht="20" customHeight="1" x14ac:dyDescent="0.35">
      <c r="A34" s="48" t="s">
        <v>155</v>
      </c>
      <c r="B34" s="48"/>
      <c r="C34" s="48"/>
      <c r="D34" s="48"/>
      <c r="E34" s="48"/>
      <c r="F34" s="48"/>
      <c r="G34" s="48"/>
    </row>
  </sheetData>
  <mergeCells count="7">
    <mergeCell ref="A34:G34"/>
    <mergeCell ref="A1:G1"/>
    <mergeCell ref="A2:G2"/>
    <mergeCell ref="A3:G4"/>
    <mergeCell ref="A12:G12"/>
    <mergeCell ref="A29:G29"/>
    <mergeCell ref="A30:G32"/>
  </mergeCells>
  <conditionalFormatting sqref="E6:F6">
    <cfRule type="expression" dxfId="13" priority="1">
      <formula>E6&gt;=0</formula>
    </cfRule>
    <cfRule type="expression" dxfId="12" priority="2">
      <formula>E6&lt;0</formula>
    </cfRule>
  </conditionalFormatting>
  <conditionalFormatting sqref="E7:F7">
    <cfRule type="expression" dxfId="11" priority="13">
      <formula>E7&lt;=0</formula>
    </cfRule>
    <cfRule type="expression" dxfId="10" priority="14">
      <formula>E7&gt;0</formula>
    </cfRule>
  </conditionalFormatting>
  <conditionalFormatting sqref="E8:F9">
    <cfRule type="expression" dxfId="9" priority="3">
      <formula>E8&gt;=0</formula>
    </cfRule>
    <cfRule type="expression" dxfId="8" priority="4">
      <formula>E8&lt;0</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3B94C-7E7C-4A53-A02A-900D4726112E}">
  <sheetPr>
    <tabColor rgb="FF002060"/>
  </sheetPr>
  <dimension ref="A1:L46"/>
  <sheetViews>
    <sheetView showGridLines="0" topLeftCell="A30" workbookViewId="0">
      <selection activeCell="G39" sqref="G39"/>
    </sheetView>
  </sheetViews>
  <sheetFormatPr defaultRowHeight="14.5" x14ac:dyDescent="0.35"/>
  <cols>
    <col min="1" max="11" width="11.26953125" customWidth="1"/>
    <col min="12" max="12" width="14.90625" customWidth="1"/>
  </cols>
  <sheetData>
    <row r="1" spans="1:12" ht="23.5" x14ac:dyDescent="0.35">
      <c r="A1" s="69" t="s">
        <v>116</v>
      </c>
      <c r="B1" s="69"/>
      <c r="C1" s="69"/>
      <c r="D1" s="69"/>
      <c r="E1" s="69"/>
      <c r="F1" s="69"/>
      <c r="G1" s="69"/>
      <c r="H1" s="69"/>
      <c r="I1" s="69"/>
      <c r="J1" s="69"/>
      <c r="K1" s="69"/>
      <c r="L1" s="69"/>
    </row>
    <row r="2" spans="1:12" x14ac:dyDescent="0.35">
      <c r="A2" s="67" t="s">
        <v>117</v>
      </c>
      <c r="B2" s="67"/>
      <c r="C2" s="67"/>
      <c r="D2" s="67"/>
      <c r="E2" s="67"/>
      <c r="F2" s="67"/>
      <c r="G2" s="67"/>
      <c r="H2" s="67"/>
      <c r="I2" s="67"/>
      <c r="J2" s="67"/>
      <c r="K2" s="67"/>
      <c r="L2" s="67"/>
    </row>
    <row r="4" spans="1:12" x14ac:dyDescent="0.35">
      <c r="A4" s="66" t="s">
        <v>118</v>
      </c>
      <c r="B4" s="66"/>
      <c r="C4" s="66"/>
      <c r="D4" s="66"/>
      <c r="E4" s="66"/>
      <c r="F4" s="66"/>
      <c r="G4" s="66"/>
      <c r="H4" s="66"/>
      <c r="I4" s="66"/>
      <c r="J4" s="66"/>
      <c r="K4" s="66"/>
      <c r="L4" s="66"/>
    </row>
    <row r="5" spans="1:12" x14ac:dyDescent="0.35">
      <c r="A5" s="66"/>
      <c r="B5" s="66"/>
      <c r="C5" s="66"/>
      <c r="D5" s="66"/>
      <c r="E5" s="66"/>
      <c r="F5" s="66"/>
      <c r="G5" s="66"/>
      <c r="H5" s="66"/>
      <c r="I5" s="66"/>
      <c r="J5" s="66"/>
      <c r="K5" s="66"/>
      <c r="L5" s="66"/>
    </row>
    <row r="6" spans="1:12" x14ac:dyDescent="0.35">
      <c r="A6" s="66"/>
      <c r="B6" s="66"/>
      <c r="C6" s="66"/>
      <c r="D6" s="66"/>
      <c r="E6" s="66"/>
      <c r="F6" s="66"/>
      <c r="G6" s="66"/>
      <c r="H6" s="66"/>
      <c r="I6" s="66"/>
      <c r="J6" s="66"/>
      <c r="K6" s="66"/>
      <c r="L6" s="66"/>
    </row>
    <row r="8" spans="1:12" x14ac:dyDescent="0.35">
      <c r="A8" s="72" t="s">
        <v>119</v>
      </c>
      <c r="B8" s="72"/>
      <c r="C8" s="72"/>
      <c r="D8" s="72" t="s">
        <v>120</v>
      </c>
      <c r="E8" s="72"/>
      <c r="F8" s="72"/>
      <c r="G8" s="72" t="s">
        <v>121</v>
      </c>
      <c r="H8" s="72"/>
      <c r="I8" s="72"/>
      <c r="J8" s="72" t="s">
        <v>122</v>
      </c>
      <c r="K8" s="72"/>
      <c r="L8" s="72"/>
    </row>
    <row r="9" spans="1:12" x14ac:dyDescent="0.35">
      <c r="A9" s="73">
        <f>KPI_Model!E6/1000</f>
        <v>2.1800000000000002</v>
      </c>
      <c r="B9" s="73"/>
      <c r="C9" s="73"/>
      <c r="D9" s="74">
        <f>KPI_Model!E11</f>
        <v>0.29199999999999998</v>
      </c>
      <c r="E9" s="74"/>
      <c r="F9" s="74"/>
      <c r="G9" s="75">
        <f>KPI_Model!E12</f>
        <v>39.4</v>
      </c>
      <c r="H9" s="75"/>
      <c r="I9" s="75"/>
      <c r="J9" s="71">
        <f>KPI_Model!E14</f>
        <v>1.8</v>
      </c>
      <c r="K9" s="71"/>
      <c r="L9" s="71"/>
    </row>
    <row r="10" spans="1:12" x14ac:dyDescent="0.35">
      <c r="A10" s="73"/>
      <c r="B10" s="73"/>
      <c r="C10" s="73"/>
      <c r="D10" s="74"/>
      <c r="E10" s="74"/>
      <c r="F10" s="74"/>
      <c r="G10" s="75"/>
      <c r="H10" s="75"/>
      <c r="I10" s="75"/>
      <c r="J10" s="71"/>
      <c r="K10" s="71"/>
      <c r="L10" s="71"/>
    </row>
    <row r="11" spans="1:12" x14ac:dyDescent="0.35">
      <c r="A11" s="65" t="s">
        <v>152</v>
      </c>
      <c r="B11" s="65"/>
      <c r="C11" s="65"/>
      <c r="D11" s="65"/>
      <c r="E11" s="65"/>
      <c r="F11" s="65"/>
      <c r="G11" s="65"/>
      <c r="H11" s="65"/>
      <c r="I11" s="65"/>
      <c r="J11" s="65"/>
      <c r="K11" s="65"/>
      <c r="L11" s="65"/>
    </row>
    <row r="28" spans="1:12" x14ac:dyDescent="0.35">
      <c r="A28" s="65" t="s">
        <v>153</v>
      </c>
      <c r="B28" s="65"/>
      <c r="C28" s="65"/>
      <c r="D28" s="65"/>
      <c r="E28" s="65"/>
      <c r="F28" s="65"/>
      <c r="G28" s="65"/>
      <c r="H28" s="65"/>
      <c r="I28" s="65"/>
      <c r="J28" s="65"/>
      <c r="K28" s="65"/>
      <c r="L28" s="65"/>
    </row>
    <row r="46" spans="1:12" ht="20" customHeight="1" x14ac:dyDescent="0.35">
      <c r="A46" s="48" t="s">
        <v>155</v>
      </c>
      <c r="B46" s="48"/>
      <c r="C46" s="48"/>
      <c r="D46" s="48"/>
      <c r="E46" s="48"/>
      <c r="F46" s="48"/>
      <c r="G46" s="48"/>
      <c r="H46" s="48"/>
      <c r="I46" s="48"/>
      <c r="J46" s="48"/>
      <c r="K46" s="48"/>
      <c r="L46" s="48"/>
    </row>
  </sheetData>
  <mergeCells count="14">
    <mergeCell ref="J9:L10"/>
    <mergeCell ref="A11:L11"/>
    <mergeCell ref="A28:L28"/>
    <mergeCell ref="A46:L46"/>
    <mergeCell ref="A1:L1"/>
    <mergeCell ref="A2:L2"/>
    <mergeCell ref="A4:L6"/>
    <mergeCell ref="A8:C8"/>
    <mergeCell ref="A9:C10"/>
    <mergeCell ref="D8:F8"/>
    <mergeCell ref="D9:F10"/>
    <mergeCell ref="G8:I8"/>
    <mergeCell ref="G9:I10"/>
    <mergeCell ref="J8:L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pageSetUpPr fitToPage="1"/>
  </sheetPr>
  <dimension ref="A1:M23"/>
  <sheetViews>
    <sheetView showGridLines="0" workbookViewId="0">
      <pane ySplit="5" topLeftCell="A6" activePane="bottomLeft" state="frozen"/>
      <selection pane="bottomLeft" activeCell="B13" sqref="B13"/>
    </sheetView>
  </sheetViews>
  <sheetFormatPr defaultColWidth="15.6328125" defaultRowHeight="14.5" x14ac:dyDescent="0.35"/>
  <cols>
    <col min="1" max="1" width="31.1796875" bestFit="1" customWidth="1"/>
    <col min="2" max="2" width="23.54296875" bestFit="1" customWidth="1"/>
    <col min="3" max="3" width="8.54296875" bestFit="1" customWidth="1"/>
    <col min="4" max="4" width="14.26953125" bestFit="1" customWidth="1"/>
    <col min="5" max="5" width="10.36328125" bestFit="1" customWidth="1"/>
    <col min="6" max="6" width="13.36328125" bestFit="1" customWidth="1"/>
    <col min="7" max="7" width="11.08984375" bestFit="1" customWidth="1"/>
    <col min="8" max="8" width="13.1796875" bestFit="1" customWidth="1"/>
    <col min="9" max="9" width="15.1796875" bestFit="1" customWidth="1"/>
    <col min="10" max="10" width="16.6328125" bestFit="1" customWidth="1"/>
    <col min="11" max="11" width="18.7265625" bestFit="1" customWidth="1"/>
    <col min="12" max="12" width="9" bestFit="1" customWidth="1"/>
    <col min="13" max="13" width="29.26953125" bestFit="1" customWidth="1"/>
  </cols>
  <sheetData>
    <row r="1" spans="1:13" ht="23.5" x14ac:dyDescent="0.35">
      <c r="A1" s="45" t="s">
        <v>50</v>
      </c>
      <c r="B1" s="69"/>
      <c r="C1" s="69"/>
      <c r="D1" s="69"/>
      <c r="E1" s="69"/>
      <c r="F1" s="69"/>
      <c r="G1" s="69"/>
      <c r="H1" s="69"/>
      <c r="I1" s="69"/>
      <c r="J1" s="69"/>
      <c r="K1" s="69"/>
      <c r="L1" s="69"/>
      <c r="M1" s="69"/>
    </row>
    <row r="2" spans="1:13" x14ac:dyDescent="0.35">
      <c r="A2" s="46" t="s">
        <v>51</v>
      </c>
      <c r="B2" s="67"/>
      <c r="C2" s="67"/>
      <c r="D2" s="67"/>
      <c r="E2" s="67"/>
      <c r="F2" s="67"/>
      <c r="G2" s="67"/>
      <c r="H2" s="67"/>
      <c r="I2" s="67"/>
      <c r="J2" s="67"/>
      <c r="K2" s="67"/>
      <c r="L2" s="67"/>
      <c r="M2" s="67"/>
    </row>
    <row r="5" spans="1:13" ht="23" x14ac:dyDescent="0.35">
      <c r="A5" s="33" t="s">
        <v>12</v>
      </c>
      <c r="B5" s="33" t="s">
        <v>24</v>
      </c>
      <c r="C5" s="33" t="s">
        <v>25</v>
      </c>
      <c r="D5" s="33" t="s">
        <v>52</v>
      </c>
      <c r="E5" s="33" t="s">
        <v>13</v>
      </c>
      <c r="F5" s="33" t="s">
        <v>53</v>
      </c>
      <c r="G5" s="33" t="s">
        <v>14</v>
      </c>
      <c r="H5" s="33" t="s">
        <v>54</v>
      </c>
      <c r="I5" s="33" t="s">
        <v>55</v>
      </c>
      <c r="J5" s="33" t="s">
        <v>15</v>
      </c>
      <c r="K5" s="33" t="s">
        <v>56</v>
      </c>
      <c r="L5" s="33" t="s">
        <v>16</v>
      </c>
      <c r="M5" s="33" t="s">
        <v>57</v>
      </c>
    </row>
    <row r="6" spans="1:13" ht="24" x14ac:dyDescent="0.35">
      <c r="A6" s="2" t="s">
        <v>26</v>
      </c>
      <c r="B6" s="11" t="s">
        <v>27</v>
      </c>
      <c r="C6" s="12" t="s">
        <v>28</v>
      </c>
      <c r="D6" s="13" t="s">
        <v>58</v>
      </c>
      <c r="E6" s="14">
        <f>Inputs_Actuals!D6</f>
        <v>2180</v>
      </c>
      <c r="F6" s="14">
        <f>Inputs_PriorYear!D6</f>
        <v>2053</v>
      </c>
      <c r="G6" s="14">
        <f>Inputs_Budget!D6</f>
        <v>2220</v>
      </c>
      <c r="H6" s="4">
        <f t="shared" ref="H6:H14" si="0">IFERROR(E6-F6,"n/a")</f>
        <v>127</v>
      </c>
      <c r="I6" s="103">
        <f t="shared" ref="I6:I15" si="1">IFERROR(E6/F6-1,"n/a")</f>
        <v>6.1860691670725831E-2</v>
      </c>
      <c r="J6" s="4">
        <f t="shared" ref="J6:J14" si="2">IFERROR(E6-G6,"n/a")</f>
        <v>-40</v>
      </c>
      <c r="K6" s="103">
        <f t="shared" ref="K6:K15" si="3">IFERROR(E6/G6-1,"n/a")</f>
        <v>-1.8018018018018056E-2</v>
      </c>
      <c r="L6" s="15" t="str">
        <f>IF(K6&gt;=-0.05,"Green",IF(K6&gt;=-0.1,"Amber","Red"))</f>
        <v>Green</v>
      </c>
      <c r="M6" s="6" t="s">
        <v>59</v>
      </c>
    </row>
    <row r="7" spans="1:13" ht="24" x14ac:dyDescent="0.35">
      <c r="A7" s="2" t="s">
        <v>29</v>
      </c>
      <c r="B7" s="11" t="s">
        <v>27</v>
      </c>
      <c r="C7" s="12" t="s">
        <v>28</v>
      </c>
      <c r="D7" s="13" t="s">
        <v>58</v>
      </c>
      <c r="E7" s="14">
        <f>Inputs_Actuals!D7</f>
        <v>95</v>
      </c>
      <c r="F7" s="14">
        <f>Inputs_PriorYear!D7</f>
        <v>40</v>
      </c>
      <c r="G7" s="14">
        <f>Inputs_Budget!D7</f>
        <v>70</v>
      </c>
      <c r="H7" s="4">
        <f t="shared" si="0"/>
        <v>55</v>
      </c>
      <c r="I7" s="103">
        <f t="shared" si="1"/>
        <v>1.375</v>
      </c>
      <c r="J7" s="4">
        <f t="shared" si="2"/>
        <v>25</v>
      </c>
      <c r="K7" s="103">
        <f t="shared" si="3"/>
        <v>0.35714285714285721</v>
      </c>
      <c r="L7" s="15" t="str">
        <f>IF(K7&gt;=-0.05,"Green",IF(K7&gt;=-0.1,"Amber","Red"))</f>
        <v>Green</v>
      </c>
      <c r="M7" s="6" t="s">
        <v>60</v>
      </c>
    </row>
    <row r="8" spans="1:13" ht="24" x14ac:dyDescent="0.35">
      <c r="A8" s="2" t="s">
        <v>30</v>
      </c>
      <c r="B8" s="11" t="s">
        <v>31</v>
      </c>
      <c r="C8" s="12" t="s">
        <v>28</v>
      </c>
      <c r="D8" s="13" t="s">
        <v>61</v>
      </c>
      <c r="E8" s="14">
        <f>Inputs_Actuals!D8</f>
        <v>1543</v>
      </c>
      <c r="F8" s="14">
        <f>Inputs_PriorYear!D8</f>
        <v>1468</v>
      </c>
      <c r="G8" s="14">
        <f>Inputs_Budget!D8</f>
        <v>1517</v>
      </c>
      <c r="H8" s="4">
        <f t="shared" si="0"/>
        <v>75</v>
      </c>
      <c r="I8" s="103">
        <f t="shared" si="1"/>
        <v>5.1089918256130851E-2</v>
      </c>
      <c r="J8" s="4">
        <f t="shared" si="2"/>
        <v>26</v>
      </c>
      <c r="K8" s="103">
        <f t="shared" si="3"/>
        <v>1.713909030982208E-2</v>
      </c>
      <c r="L8" s="15" t="str">
        <f>IF(K8&lt;=0.05,"Green",IF(K8&lt;=0.1,"Amber","Red"))</f>
        <v>Green</v>
      </c>
      <c r="M8" s="6" t="s">
        <v>62</v>
      </c>
    </row>
    <row r="9" spans="1:13" ht="24" x14ac:dyDescent="0.35">
      <c r="A9" s="2" t="s">
        <v>32</v>
      </c>
      <c r="B9" s="11" t="s">
        <v>31</v>
      </c>
      <c r="C9" s="12" t="s">
        <v>33</v>
      </c>
      <c r="D9" s="13" t="s">
        <v>61</v>
      </c>
      <c r="E9" s="102">
        <f>Inputs_Actuals!D9</f>
        <v>0.54</v>
      </c>
      <c r="F9" s="102">
        <f>Inputs_PriorYear!D9</f>
        <v>0.52800000000000002</v>
      </c>
      <c r="G9" s="102">
        <f>Inputs_Budget!D9</f>
        <v>0.52</v>
      </c>
      <c r="H9" s="7">
        <f>(E9-F9)*100</f>
        <v>1.2000000000000011</v>
      </c>
      <c r="I9" s="103">
        <f t="shared" si="1"/>
        <v>2.2727272727272707E-2</v>
      </c>
      <c r="J9" s="7">
        <f>(E9-G9)*100</f>
        <v>2.0000000000000018</v>
      </c>
      <c r="K9" s="103">
        <f t="shared" si="3"/>
        <v>3.8461538461538547E-2</v>
      </c>
      <c r="L9" s="15" t="str">
        <f>IF(J9&lt;=0.5,"Green",IF(J9&lt;=2.5,"Amber","Red"))</f>
        <v>Amber</v>
      </c>
      <c r="M9" s="6" t="s">
        <v>63</v>
      </c>
    </row>
    <row r="10" spans="1:13" ht="24" x14ac:dyDescent="0.35">
      <c r="A10" s="2" t="s">
        <v>34</v>
      </c>
      <c r="B10" s="11" t="s">
        <v>35</v>
      </c>
      <c r="C10" s="12" t="s">
        <v>28</v>
      </c>
      <c r="D10" s="13" t="s">
        <v>58</v>
      </c>
      <c r="E10" s="14">
        <f>E6-E8</f>
        <v>637</v>
      </c>
      <c r="F10" s="14">
        <f>F6-F8</f>
        <v>585</v>
      </c>
      <c r="G10" s="14">
        <f>G6-G8</f>
        <v>703</v>
      </c>
      <c r="H10" s="4">
        <f t="shared" si="0"/>
        <v>52</v>
      </c>
      <c r="I10" s="103">
        <f t="shared" si="1"/>
        <v>8.8888888888888795E-2</v>
      </c>
      <c r="J10" s="4">
        <f t="shared" si="2"/>
        <v>-66</v>
      </c>
      <c r="K10" s="103">
        <f t="shared" si="3"/>
        <v>-9.3883357041251725E-2</v>
      </c>
      <c r="L10" s="15" t="str">
        <f>IF(K10&gt;=-0.05,"Green",IF(K10&gt;=-0.1,"Amber","Red"))</f>
        <v>Amber</v>
      </c>
      <c r="M10" s="6" t="s">
        <v>64</v>
      </c>
    </row>
    <row r="11" spans="1:13" ht="24" x14ac:dyDescent="0.35">
      <c r="A11" s="2" t="s">
        <v>36</v>
      </c>
      <c r="B11" s="11" t="s">
        <v>35</v>
      </c>
      <c r="C11" s="12" t="s">
        <v>33</v>
      </c>
      <c r="D11" s="13" t="s">
        <v>58</v>
      </c>
      <c r="E11" s="102">
        <f>ROUND(E10/E6,3)</f>
        <v>0.29199999999999998</v>
      </c>
      <c r="F11" s="102">
        <f>ROUND(F10/F6,3)</f>
        <v>0.28499999999999998</v>
      </c>
      <c r="G11" s="102">
        <f>ROUND(G10/G6,3)</f>
        <v>0.317</v>
      </c>
      <c r="H11" s="7">
        <f>(E11-F11)*100</f>
        <v>0.70000000000000062</v>
      </c>
      <c r="I11" s="103">
        <f t="shared" si="1"/>
        <v>2.4561403508772006E-2</v>
      </c>
      <c r="J11" s="7">
        <f>(E11-G11)*100</f>
        <v>-2.5000000000000022</v>
      </c>
      <c r="K11" s="103">
        <f t="shared" si="3"/>
        <v>-7.8864353312302904E-2</v>
      </c>
      <c r="L11" s="15" t="str">
        <f>IF(J11&gt;=-0.5,"Green",IF(J11&gt;=-3,"Amber","Red"))</f>
        <v>Amber</v>
      </c>
      <c r="M11" s="6" t="s">
        <v>65</v>
      </c>
    </row>
    <row r="12" spans="1:13" ht="24" x14ac:dyDescent="0.35">
      <c r="A12" s="2" t="s">
        <v>37</v>
      </c>
      <c r="B12" s="11" t="s">
        <v>38</v>
      </c>
      <c r="C12" s="12" t="s">
        <v>39</v>
      </c>
      <c r="D12" s="13" t="s">
        <v>58</v>
      </c>
      <c r="E12" s="16">
        <f>Inputs_Actuals!D12</f>
        <v>39.4</v>
      </c>
      <c r="F12" s="16">
        <f>Inputs_PriorYear!D12</f>
        <v>36.1</v>
      </c>
      <c r="G12" s="16">
        <f>Inputs_Budget!D12</f>
        <v>39</v>
      </c>
      <c r="H12" s="8">
        <f t="shared" si="0"/>
        <v>3.2999999999999972</v>
      </c>
      <c r="I12" s="103">
        <f t="shared" si="1"/>
        <v>9.1412742382271484E-2</v>
      </c>
      <c r="J12" s="8">
        <f t="shared" si="2"/>
        <v>0.39999999999999858</v>
      </c>
      <c r="K12" s="103">
        <f t="shared" si="3"/>
        <v>1.025641025641022E-2</v>
      </c>
      <c r="L12" s="15" t="str">
        <f>IF(K12&gt;=-0.05,"Green",IF(K12&gt;=-0.1,"Amber","Red"))</f>
        <v>Green</v>
      </c>
      <c r="M12" s="6" t="s">
        <v>66</v>
      </c>
    </row>
    <row r="13" spans="1:13" ht="24" x14ac:dyDescent="0.35">
      <c r="A13" s="2" t="s">
        <v>40</v>
      </c>
      <c r="B13" s="11" t="s">
        <v>38</v>
      </c>
      <c r="C13" s="12" t="s">
        <v>41</v>
      </c>
      <c r="D13" s="13" t="s">
        <v>61</v>
      </c>
      <c r="E13" s="17">
        <f>Inputs_Actuals!D13</f>
        <v>47</v>
      </c>
      <c r="F13" s="17">
        <f>Inputs_PriorYear!D13</f>
        <v>41</v>
      </c>
      <c r="G13" s="17">
        <f>Inputs_Budget!D13</f>
        <v>42</v>
      </c>
      <c r="H13" s="38">
        <f t="shared" si="0"/>
        <v>6</v>
      </c>
      <c r="I13" s="103">
        <f t="shared" si="1"/>
        <v>0.14634146341463405</v>
      </c>
      <c r="J13" s="38">
        <f t="shared" si="2"/>
        <v>5</v>
      </c>
      <c r="K13" s="103">
        <f t="shared" si="3"/>
        <v>0.11904761904761907</v>
      </c>
      <c r="L13" s="15" t="str">
        <f>IF(J13&lt;=2,"Green",IF(J13&lt;=7,"Amber","Red"))</f>
        <v>Amber</v>
      </c>
      <c r="M13" s="6" t="s">
        <v>67</v>
      </c>
    </row>
    <row r="14" spans="1:13" ht="24" x14ac:dyDescent="0.35">
      <c r="A14" s="2" t="s">
        <v>42</v>
      </c>
      <c r="B14" s="11" t="s">
        <v>38</v>
      </c>
      <c r="C14" s="12" t="s">
        <v>43</v>
      </c>
      <c r="D14" s="13" t="s">
        <v>61</v>
      </c>
      <c r="E14" s="18">
        <f>Inputs_Actuals!D14</f>
        <v>1.8</v>
      </c>
      <c r="F14" s="18">
        <f>Inputs_PriorYear!D14</f>
        <v>3.1</v>
      </c>
      <c r="G14" s="18">
        <f>Inputs_Budget!D14</f>
        <v>2.5</v>
      </c>
      <c r="H14" s="10">
        <f t="shared" si="0"/>
        <v>-1.3</v>
      </c>
      <c r="I14" s="103">
        <f t="shared" si="1"/>
        <v>-0.41935483870967738</v>
      </c>
      <c r="J14" s="10">
        <f t="shared" si="2"/>
        <v>-0.7</v>
      </c>
      <c r="K14" s="103">
        <f t="shared" si="3"/>
        <v>-0.28000000000000003</v>
      </c>
      <c r="L14" s="15" t="str">
        <f>IF(J14&lt;=0,"Green",IF(J14&lt;=0.5,"Amber","Red"))</f>
        <v>Green</v>
      </c>
      <c r="M14" s="6" t="s">
        <v>68</v>
      </c>
    </row>
    <row r="15" spans="1:13" ht="24" x14ac:dyDescent="0.35">
      <c r="A15" s="2" t="s">
        <v>44</v>
      </c>
      <c r="B15" s="11" t="s">
        <v>38</v>
      </c>
      <c r="C15" s="12" t="s">
        <v>33</v>
      </c>
      <c r="D15" s="13" t="s">
        <v>58</v>
      </c>
      <c r="E15" s="102">
        <f>Inputs_Actuals!D15</f>
        <v>0.91500000000000004</v>
      </c>
      <c r="F15" s="102">
        <f>Inputs_PriorYear!D15</f>
        <v>0.88</v>
      </c>
      <c r="G15" s="102">
        <f>Inputs_Budget!D15</f>
        <v>0.92</v>
      </c>
      <c r="H15" s="7">
        <f>(E15-F15)*100</f>
        <v>3.5000000000000031</v>
      </c>
      <c r="I15" s="103">
        <f t="shared" si="1"/>
        <v>3.9772727272727293E-2</v>
      </c>
      <c r="J15" s="7">
        <f>(E15-G15)*100</f>
        <v>-0.50000000000000044</v>
      </c>
      <c r="K15" s="103">
        <f t="shared" si="3"/>
        <v>-5.4347826086956763E-3</v>
      </c>
      <c r="L15" s="15" t="str">
        <f>IF(J15&gt;=-0.5,"Green",IF(J15&gt;=-3,"Amber","Red"))</f>
        <v>Green</v>
      </c>
      <c r="M15" s="6" t="s">
        <v>69</v>
      </c>
    </row>
    <row r="17" spans="1:13" x14ac:dyDescent="0.35">
      <c r="A17" s="43" t="s">
        <v>128</v>
      </c>
      <c r="B17" s="65"/>
      <c r="C17" s="65"/>
      <c r="D17" s="65"/>
      <c r="E17" s="65"/>
      <c r="F17" s="65"/>
      <c r="G17" s="65"/>
      <c r="H17" s="65"/>
      <c r="I17" s="65"/>
      <c r="J17" s="65"/>
      <c r="K17" s="65"/>
      <c r="L17" s="65"/>
      <c r="M17" s="65"/>
    </row>
    <row r="18" spans="1:13" x14ac:dyDescent="0.35">
      <c r="A18" s="76" t="s">
        <v>70</v>
      </c>
      <c r="B18" s="51"/>
      <c r="C18" s="51"/>
      <c r="D18" s="51"/>
      <c r="E18" s="51"/>
      <c r="F18" s="51"/>
      <c r="G18" s="51"/>
      <c r="H18" s="51"/>
      <c r="I18" s="51"/>
      <c r="J18" s="51"/>
      <c r="K18" s="51"/>
      <c r="L18" s="51"/>
      <c r="M18" s="51"/>
    </row>
    <row r="19" spans="1:13" x14ac:dyDescent="0.35">
      <c r="A19" s="76" t="s">
        <v>71</v>
      </c>
      <c r="B19" s="51"/>
      <c r="C19" s="51"/>
      <c r="D19" s="51"/>
      <c r="E19" s="51"/>
      <c r="F19" s="51"/>
      <c r="G19" s="51"/>
      <c r="H19" s="51"/>
      <c r="I19" s="51"/>
      <c r="J19" s="51"/>
      <c r="K19" s="51"/>
      <c r="L19" s="51"/>
      <c r="M19" s="51"/>
    </row>
    <row r="20" spans="1:13" x14ac:dyDescent="0.35">
      <c r="A20" s="76" t="s">
        <v>72</v>
      </c>
      <c r="B20" s="51"/>
      <c r="C20" s="51"/>
      <c r="D20" s="51"/>
      <c r="E20" s="51"/>
      <c r="F20" s="51"/>
      <c r="G20" s="51"/>
      <c r="H20" s="51"/>
      <c r="I20" s="51"/>
      <c r="J20" s="51"/>
      <c r="K20" s="51"/>
      <c r="L20" s="51"/>
      <c r="M20" s="51"/>
    </row>
    <row r="23" spans="1:13" ht="20" customHeight="1" x14ac:dyDescent="0.35">
      <c r="A23" s="47" t="s">
        <v>155</v>
      </c>
      <c r="B23" s="48"/>
      <c r="C23" s="48"/>
      <c r="D23" s="48"/>
      <c r="E23" s="48"/>
      <c r="F23" s="48"/>
      <c r="G23" s="48"/>
      <c r="H23" s="48"/>
      <c r="I23" s="48"/>
      <c r="J23" s="48"/>
      <c r="K23" s="48"/>
      <c r="L23" s="48"/>
      <c r="M23" s="48"/>
    </row>
  </sheetData>
  <mergeCells count="7">
    <mergeCell ref="A19:M19"/>
    <mergeCell ref="A1:M1"/>
    <mergeCell ref="A23:M23"/>
    <mergeCell ref="A17:M17"/>
    <mergeCell ref="A18:M18"/>
    <mergeCell ref="A20:M20"/>
    <mergeCell ref="A2:M2"/>
  </mergeCells>
  <conditionalFormatting sqref="L6:L15">
    <cfRule type="expression" dxfId="7" priority="1">
      <formula>L6="Green"</formula>
    </cfRule>
    <cfRule type="expression" dxfId="6" priority="2">
      <formula>L6="Amber"</formula>
    </cfRule>
    <cfRule type="expression" dxfId="5" priority="3">
      <formula>L6="Red"</formula>
    </cfRule>
    <cfRule type="expression" dxfId="4" priority="4">
      <formula>$L6="Green"</formula>
    </cfRule>
    <cfRule type="expression" dxfId="3" priority="5">
      <formula>$L6="Amber"</formula>
    </cfRule>
    <cfRule type="expression" dxfId="2" priority="6">
      <formula>$L6="Red"</formula>
    </cfRule>
  </conditionalFormatting>
  <pageMargins left="0.25" right="0.25" top="0.5" bottom="0.5" header="0.5" footer="0.5"/>
  <pageSetup fitToHeight="0" orientation="landscape"/>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pageSetUpPr fitToPage="1"/>
  </sheetPr>
  <dimension ref="A1:D20"/>
  <sheetViews>
    <sheetView showGridLines="0" workbookViewId="0">
      <pane ySplit="5" topLeftCell="A6" activePane="bottomLeft" state="frozen"/>
      <selection pane="bottomLeft" activeCell="D11" sqref="D11"/>
    </sheetView>
  </sheetViews>
  <sheetFormatPr defaultRowHeight="14.5" x14ac:dyDescent="0.35"/>
  <cols>
    <col min="1" max="1" width="38.1796875" customWidth="1"/>
    <col min="2" max="2" width="26.36328125" customWidth="1"/>
    <col min="3" max="3" width="11.81640625" customWidth="1"/>
    <col min="4" max="4" width="15.453125" customWidth="1"/>
  </cols>
  <sheetData>
    <row r="1" spans="1:4" ht="23.5" x14ac:dyDescent="0.35">
      <c r="A1" s="45" t="s">
        <v>22</v>
      </c>
      <c r="B1" s="69"/>
      <c r="C1" s="69"/>
      <c r="D1" s="69"/>
    </row>
    <row r="2" spans="1:4" x14ac:dyDescent="0.35">
      <c r="A2" s="46" t="s">
        <v>23</v>
      </c>
      <c r="B2" s="67"/>
      <c r="C2" s="67"/>
      <c r="D2" s="67"/>
    </row>
    <row r="5" spans="1:4" x14ac:dyDescent="0.35">
      <c r="A5" s="33" t="s">
        <v>12</v>
      </c>
      <c r="B5" s="33" t="s">
        <v>24</v>
      </c>
      <c r="C5" s="33" t="s">
        <v>25</v>
      </c>
      <c r="D5" s="33" t="s">
        <v>13</v>
      </c>
    </row>
    <row r="6" spans="1:4" x14ac:dyDescent="0.35">
      <c r="A6" s="2" t="s">
        <v>26</v>
      </c>
      <c r="B6" s="11" t="s">
        <v>27</v>
      </c>
      <c r="C6" s="12" t="s">
        <v>28</v>
      </c>
      <c r="D6" s="34">
        <v>2180</v>
      </c>
    </row>
    <row r="7" spans="1:4" x14ac:dyDescent="0.35">
      <c r="A7" s="2" t="s">
        <v>29</v>
      </c>
      <c r="B7" s="11" t="s">
        <v>27</v>
      </c>
      <c r="C7" s="12" t="s">
        <v>28</v>
      </c>
      <c r="D7" s="34">
        <v>95</v>
      </c>
    </row>
    <row r="8" spans="1:4" x14ac:dyDescent="0.35">
      <c r="A8" s="2" t="s">
        <v>30</v>
      </c>
      <c r="B8" s="11" t="s">
        <v>31</v>
      </c>
      <c r="C8" s="12" t="s">
        <v>28</v>
      </c>
      <c r="D8" s="34">
        <v>1543</v>
      </c>
    </row>
    <row r="9" spans="1:4" x14ac:dyDescent="0.35">
      <c r="A9" s="2" t="s">
        <v>32</v>
      </c>
      <c r="B9" s="11" t="s">
        <v>31</v>
      </c>
      <c r="C9" s="12" t="s">
        <v>33</v>
      </c>
      <c r="D9" s="101">
        <v>0.54</v>
      </c>
    </row>
    <row r="10" spans="1:4" x14ac:dyDescent="0.35">
      <c r="A10" s="2" t="s">
        <v>34</v>
      </c>
      <c r="B10" s="11" t="s">
        <v>35</v>
      </c>
      <c r="C10" s="12" t="s">
        <v>28</v>
      </c>
      <c r="D10" s="34">
        <v>637</v>
      </c>
    </row>
    <row r="11" spans="1:4" x14ac:dyDescent="0.35">
      <c r="A11" s="2" t="s">
        <v>36</v>
      </c>
      <c r="B11" s="11" t="s">
        <v>35</v>
      </c>
      <c r="C11" s="12" t="s">
        <v>33</v>
      </c>
      <c r="D11" s="101">
        <v>0.29199999999999998</v>
      </c>
    </row>
    <row r="12" spans="1:4" x14ac:dyDescent="0.35">
      <c r="A12" s="2" t="s">
        <v>37</v>
      </c>
      <c r="B12" s="11" t="s">
        <v>38</v>
      </c>
      <c r="C12" s="12" t="s">
        <v>39</v>
      </c>
      <c r="D12" s="35">
        <v>39.4</v>
      </c>
    </row>
    <row r="13" spans="1:4" x14ac:dyDescent="0.35">
      <c r="A13" s="2" t="s">
        <v>40</v>
      </c>
      <c r="B13" s="11" t="s">
        <v>38</v>
      </c>
      <c r="C13" s="12" t="s">
        <v>41</v>
      </c>
      <c r="D13" s="36">
        <v>47</v>
      </c>
    </row>
    <row r="14" spans="1:4" x14ac:dyDescent="0.35">
      <c r="A14" s="2" t="s">
        <v>42</v>
      </c>
      <c r="B14" s="11" t="s">
        <v>38</v>
      </c>
      <c r="C14" s="12" t="s">
        <v>43</v>
      </c>
      <c r="D14" s="37">
        <v>1.8</v>
      </c>
    </row>
    <row r="15" spans="1:4" x14ac:dyDescent="0.35">
      <c r="A15" s="2" t="s">
        <v>44</v>
      </c>
      <c r="B15" s="11" t="s">
        <v>38</v>
      </c>
      <c r="C15" s="12" t="s">
        <v>33</v>
      </c>
      <c r="D15" s="101">
        <v>0.91500000000000004</v>
      </c>
    </row>
    <row r="17" spans="1:4" x14ac:dyDescent="0.35">
      <c r="A17" s="77" t="s">
        <v>45</v>
      </c>
      <c r="B17" s="78"/>
      <c r="C17" s="78"/>
      <c r="D17" s="78"/>
    </row>
    <row r="18" spans="1:4" x14ac:dyDescent="0.35">
      <c r="A18" s="78"/>
      <c r="B18" s="78"/>
      <c r="C18" s="78"/>
      <c r="D18" s="78"/>
    </row>
    <row r="20" spans="1:4" ht="20" customHeight="1" x14ac:dyDescent="0.35">
      <c r="A20" s="47" t="s">
        <v>155</v>
      </c>
      <c r="B20" s="48"/>
      <c r="C20" s="48"/>
      <c r="D20" s="48"/>
    </row>
  </sheetData>
  <mergeCells count="4">
    <mergeCell ref="A1:D1"/>
    <mergeCell ref="A20:D20"/>
    <mergeCell ref="A17:D18"/>
    <mergeCell ref="A2:D2"/>
  </mergeCells>
  <pageMargins left="0.25" right="0.25" top="0.5" bottom="0.5" header="0.5" footer="0.5"/>
  <pageSetup fitToHeight="0" orientation="landscape"/>
  <legacyDrawing r:id="rId1"/>
  <tableParts count="1">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pageSetUpPr fitToPage="1"/>
  </sheetPr>
  <dimension ref="A1:D20"/>
  <sheetViews>
    <sheetView showGridLines="0" workbookViewId="0">
      <pane ySplit="5" topLeftCell="A6" activePane="bottomLeft" state="frozen"/>
      <selection pane="bottomLeft" sqref="A1:D1"/>
    </sheetView>
  </sheetViews>
  <sheetFormatPr defaultRowHeight="14.5" x14ac:dyDescent="0.35"/>
  <cols>
    <col min="1" max="1" width="38.1796875" customWidth="1"/>
    <col min="2" max="2" width="26.36328125" customWidth="1"/>
    <col min="3" max="3" width="11.81640625" customWidth="1"/>
    <col min="4" max="4" width="15.453125" customWidth="1"/>
  </cols>
  <sheetData>
    <row r="1" spans="1:4" ht="23.5" x14ac:dyDescent="0.35">
      <c r="A1" s="45" t="s">
        <v>127</v>
      </c>
      <c r="B1" s="69"/>
      <c r="C1" s="69"/>
      <c r="D1" s="69"/>
    </row>
    <row r="2" spans="1:4" x14ac:dyDescent="0.35">
      <c r="A2" s="46" t="s">
        <v>46</v>
      </c>
      <c r="B2" s="67"/>
      <c r="C2" s="67"/>
      <c r="D2" s="67"/>
    </row>
    <row r="5" spans="1:4" x14ac:dyDescent="0.35">
      <c r="A5" s="33" t="s">
        <v>12</v>
      </c>
      <c r="B5" s="33" t="s">
        <v>24</v>
      </c>
      <c r="C5" s="33" t="s">
        <v>25</v>
      </c>
      <c r="D5" s="33" t="s">
        <v>47</v>
      </c>
    </row>
    <row r="6" spans="1:4" x14ac:dyDescent="0.35">
      <c r="A6" s="2" t="s">
        <v>26</v>
      </c>
      <c r="B6" s="11" t="s">
        <v>27</v>
      </c>
      <c r="C6" s="12" t="s">
        <v>28</v>
      </c>
      <c r="D6" s="34">
        <v>2053</v>
      </c>
    </row>
    <row r="7" spans="1:4" x14ac:dyDescent="0.35">
      <c r="A7" s="2" t="s">
        <v>29</v>
      </c>
      <c r="B7" s="11" t="s">
        <v>27</v>
      </c>
      <c r="C7" s="12" t="s">
        <v>28</v>
      </c>
      <c r="D7" s="34">
        <v>40</v>
      </c>
    </row>
    <row r="8" spans="1:4" x14ac:dyDescent="0.35">
      <c r="A8" s="2" t="s">
        <v>30</v>
      </c>
      <c r="B8" s="11" t="s">
        <v>31</v>
      </c>
      <c r="C8" s="12" t="s">
        <v>28</v>
      </c>
      <c r="D8" s="34">
        <v>1468</v>
      </c>
    </row>
    <row r="9" spans="1:4" x14ac:dyDescent="0.35">
      <c r="A9" s="2" t="s">
        <v>32</v>
      </c>
      <c r="B9" s="11" t="s">
        <v>31</v>
      </c>
      <c r="C9" s="12" t="s">
        <v>33</v>
      </c>
      <c r="D9" s="101">
        <v>0.52800000000000002</v>
      </c>
    </row>
    <row r="10" spans="1:4" x14ac:dyDescent="0.35">
      <c r="A10" s="2" t="s">
        <v>34</v>
      </c>
      <c r="B10" s="11" t="s">
        <v>35</v>
      </c>
      <c r="C10" s="12" t="s">
        <v>28</v>
      </c>
      <c r="D10" s="34">
        <v>585</v>
      </c>
    </row>
    <row r="11" spans="1:4" x14ac:dyDescent="0.35">
      <c r="A11" s="2" t="s">
        <v>36</v>
      </c>
      <c r="B11" s="11" t="s">
        <v>35</v>
      </c>
      <c r="C11" s="12" t="s">
        <v>33</v>
      </c>
      <c r="D11" s="101">
        <v>0.28499999999999998</v>
      </c>
    </row>
    <row r="12" spans="1:4" x14ac:dyDescent="0.35">
      <c r="A12" s="2" t="s">
        <v>37</v>
      </c>
      <c r="B12" s="11" t="s">
        <v>38</v>
      </c>
      <c r="C12" s="12" t="s">
        <v>39</v>
      </c>
      <c r="D12" s="35">
        <v>36.1</v>
      </c>
    </row>
    <row r="13" spans="1:4" x14ac:dyDescent="0.35">
      <c r="A13" s="2" t="s">
        <v>40</v>
      </c>
      <c r="B13" s="11" t="s">
        <v>38</v>
      </c>
      <c r="C13" s="12" t="s">
        <v>41</v>
      </c>
      <c r="D13" s="36">
        <v>41</v>
      </c>
    </row>
    <row r="14" spans="1:4" x14ac:dyDescent="0.35">
      <c r="A14" s="2" t="s">
        <v>42</v>
      </c>
      <c r="B14" s="11" t="s">
        <v>38</v>
      </c>
      <c r="C14" s="12" t="s">
        <v>43</v>
      </c>
      <c r="D14" s="37">
        <v>3.1</v>
      </c>
    </row>
    <row r="15" spans="1:4" x14ac:dyDescent="0.35">
      <c r="A15" s="2" t="s">
        <v>44</v>
      </c>
      <c r="B15" s="11" t="s">
        <v>38</v>
      </c>
      <c r="C15" s="12" t="s">
        <v>33</v>
      </c>
      <c r="D15" s="101">
        <v>0.88</v>
      </c>
    </row>
    <row r="17" spans="1:4" x14ac:dyDescent="0.35">
      <c r="A17" s="77" t="s">
        <v>45</v>
      </c>
      <c r="B17" s="78"/>
      <c r="C17" s="78"/>
      <c r="D17" s="78"/>
    </row>
    <row r="18" spans="1:4" x14ac:dyDescent="0.35">
      <c r="A18" s="78"/>
      <c r="B18" s="78"/>
      <c r="C18" s="78"/>
      <c r="D18" s="78"/>
    </row>
    <row r="20" spans="1:4" ht="20" customHeight="1" x14ac:dyDescent="0.35">
      <c r="A20" s="47" t="s">
        <v>155</v>
      </c>
      <c r="B20" s="48"/>
      <c r="C20" s="48"/>
      <c r="D20" s="48"/>
    </row>
  </sheetData>
  <mergeCells count="4">
    <mergeCell ref="A1:D1"/>
    <mergeCell ref="A20:D20"/>
    <mergeCell ref="A17:D18"/>
    <mergeCell ref="A2:D2"/>
  </mergeCells>
  <pageMargins left="0.25" right="0.25" top="0.5" bottom="0.5" header="0.5" footer="0.5"/>
  <pageSetup fitToHeight="0" orientation="landscape"/>
  <legacyDrawing r:id="rId1"/>
  <tableParts count="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pageSetUpPr fitToPage="1"/>
  </sheetPr>
  <dimension ref="A1:D20"/>
  <sheetViews>
    <sheetView showGridLines="0" workbookViewId="0">
      <pane ySplit="5" topLeftCell="A6" activePane="bottomLeft" state="frozen"/>
      <selection pane="bottomLeft" sqref="A1:D1"/>
    </sheetView>
  </sheetViews>
  <sheetFormatPr defaultRowHeight="14.5" x14ac:dyDescent="0.35"/>
  <cols>
    <col min="1" max="1" width="38.1796875" customWidth="1"/>
    <col min="2" max="2" width="26.36328125" customWidth="1"/>
    <col min="3" max="3" width="11.81640625" customWidth="1"/>
    <col min="4" max="4" width="15.453125" customWidth="1"/>
  </cols>
  <sheetData>
    <row r="1" spans="1:4" ht="23.5" x14ac:dyDescent="0.35">
      <c r="A1" s="45" t="s">
        <v>48</v>
      </c>
      <c r="B1" s="69"/>
      <c r="C1" s="69"/>
      <c r="D1" s="69"/>
    </row>
    <row r="2" spans="1:4" x14ac:dyDescent="0.35">
      <c r="A2" s="46" t="s">
        <v>49</v>
      </c>
      <c r="B2" s="67"/>
      <c r="C2" s="67"/>
      <c r="D2" s="67"/>
    </row>
    <row r="5" spans="1:4" x14ac:dyDescent="0.35">
      <c r="A5" s="33" t="s">
        <v>12</v>
      </c>
      <c r="B5" s="33" t="s">
        <v>24</v>
      </c>
      <c r="C5" s="33" t="s">
        <v>25</v>
      </c>
      <c r="D5" s="33" t="s">
        <v>14</v>
      </c>
    </row>
    <row r="6" spans="1:4" x14ac:dyDescent="0.35">
      <c r="A6" s="2" t="s">
        <v>26</v>
      </c>
      <c r="B6" s="11" t="s">
        <v>27</v>
      </c>
      <c r="C6" s="12" t="s">
        <v>28</v>
      </c>
      <c r="D6" s="34">
        <v>2220</v>
      </c>
    </row>
    <row r="7" spans="1:4" x14ac:dyDescent="0.35">
      <c r="A7" s="2" t="s">
        <v>29</v>
      </c>
      <c r="B7" s="11" t="s">
        <v>27</v>
      </c>
      <c r="C7" s="12" t="s">
        <v>28</v>
      </c>
      <c r="D7" s="34">
        <v>70</v>
      </c>
    </row>
    <row r="8" spans="1:4" x14ac:dyDescent="0.35">
      <c r="A8" s="2" t="s">
        <v>30</v>
      </c>
      <c r="B8" s="11" t="s">
        <v>31</v>
      </c>
      <c r="C8" s="12" t="s">
        <v>28</v>
      </c>
      <c r="D8" s="34">
        <v>1517</v>
      </c>
    </row>
    <row r="9" spans="1:4" x14ac:dyDescent="0.35">
      <c r="A9" s="2" t="s">
        <v>32</v>
      </c>
      <c r="B9" s="11" t="s">
        <v>31</v>
      </c>
      <c r="C9" s="12" t="s">
        <v>33</v>
      </c>
      <c r="D9" s="101">
        <v>0.52</v>
      </c>
    </row>
    <row r="10" spans="1:4" x14ac:dyDescent="0.35">
      <c r="A10" s="2" t="s">
        <v>34</v>
      </c>
      <c r="B10" s="11" t="s">
        <v>35</v>
      </c>
      <c r="C10" s="12" t="s">
        <v>28</v>
      </c>
      <c r="D10" s="34">
        <v>703</v>
      </c>
    </row>
    <row r="11" spans="1:4" x14ac:dyDescent="0.35">
      <c r="A11" s="2" t="s">
        <v>36</v>
      </c>
      <c r="B11" s="11" t="s">
        <v>35</v>
      </c>
      <c r="C11" s="12" t="s">
        <v>33</v>
      </c>
      <c r="D11" s="101">
        <v>0.317</v>
      </c>
    </row>
    <row r="12" spans="1:4" x14ac:dyDescent="0.35">
      <c r="A12" s="2" t="s">
        <v>37</v>
      </c>
      <c r="B12" s="11" t="s">
        <v>38</v>
      </c>
      <c r="C12" s="12" t="s">
        <v>39</v>
      </c>
      <c r="D12" s="35">
        <v>39</v>
      </c>
    </row>
    <row r="13" spans="1:4" x14ac:dyDescent="0.35">
      <c r="A13" s="2" t="s">
        <v>40</v>
      </c>
      <c r="B13" s="11" t="s">
        <v>38</v>
      </c>
      <c r="C13" s="12" t="s">
        <v>41</v>
      </c>
      <c r="D13" s="36">
        <v>42</v>
      </c>
    </row>
    <row r="14" spans="1:4" x14ac:dyDescent="0.35">
      <c r="A14" s="2" t="s">
        <v>42</v>
      </c>
      <c r="B14" s="11" t="s">
        <v>38</v>
      </c>
      <c r="C14" s="12" t="s">
        <v>43</v>
      </c>
      <c r="D14" s="37">
        <v>2.5</v>
      </c>
    </row>
    <row r="15" spans="1:4" x14ac:dyDescent="0.35">
      <c r="A15" s="2" t="s">
        <v>44</v>
      </c>
      <c r="B15" s="11" t="s">
        <v>38</v>
      </c>
      <c r="C15" s="12" t="s">
        <v>33</v>
      </c>
      <c r="D15" s="101">
        <v>0.92</v>
      </c>
    </row>
    <row r="17" spans="1:4" x14ac:dyDescent="0.35">
      <c r="A17" s="77" t="s">
        <v>45</v>
      </c>
      <c r="B17" s="78"/>
      <c r="C17" s="78"/>
      <c r="D17" s="78"/>
    </row>
    <row r="18" spans="1:4" x14ac:dyDescent="0.35">
      <c r="A18" s="78"/>
      <c r="B18" s="78"/>
      <c r="C18" s="78"/>
      <c r="D18" s="78"/>
    </row>
    <row r="20" spans="1:4" ht="20" customHeight="1" x14ac:dyDescent="0.35">
      <c r="A20" s="47" t="s">
        <v>155</v>
      </c>
      <c r="B20" s="48"/>
      <c r="C20" s="48"/>
      <c r="D20" s="48"/>
    </row>
  </sheetData>
  <mergeCells count="4">
    <mergeCell ref="A1:D1"/>
    <mergeCell ref="A20:D20"/>
    <mergeCell ref="A17:D18"/>
    <mergeCell ref="A2:D2"/>
  </mergeCells>
  <pageMargins left="0.25" right="0.25" top="0.5" bottom="0.5" header="0.5" footer="0.5"/>
  <pageSetup fitToHeight="0" orientation="landscape"/>
  <legacy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pageSetUpPr fitToPage="1"/>
  </sheetPr>
  <dimension ref="A1:I24"/>
  <sheetViews>
    <sheetView showGridLines="0" workbookViewId="0">
      <selection activeCell="C20" sqref="C20"/>
    </sheetView>
  </sheetViews>
  <sheetFormatPr defaultRowHeight="14.5" x14ac:dyDescent="0.35"/>
  <cols>
    <col min="1" max="1" width="14.90625" customWidth="1"/>
    <col min="2" max="2" width="20.90625" customWidth="1"/>
    <col min="3" max="3" width="13.6328125" customWidth="1"/>
    <col min="4" max="4" width="3.6328125" customWidth="1"/>
    <col min="5" max="5" width="36.36328125" customWidth="1"/>
    <col min="6" max="6" width="15.453125" customWidth="1"/>
    <col min="7" max="7" width="14.90625" customWidth="1"/>
    <col min="8" max="8" width="20.90625" customWidth="1"/>
    <col min="9" max="9" width="13.6328125" customWidth="1"/>
    <col min="10" max="10" width="4" customWidth="1"/>
    <col min="11" max="11" width="15" customWidth="1"/>
    <col min="12" max="12" width="13" customWidth="1"/>
    <col min="13" max="13" width="4" customWidth="1"/>
  </cols>
  <sheetData>
    <row r="1" spans="1:9" ht="23" x14ac:dyDescent="0.35">
      <c r="A1" s="45" t="s">
        <v>102</v>
      </c>
      <c r="B1" s="45"/>
      <c r="C1" s="45"/>
      <c r="D1" s="45"/>
      <c r="E1" s="45"/>
      <c r="F1" s="45"/>
      <c r="G1" s="45"/>
      <c r="H1" s="45"/>
      <c r="I1" s="45"/>
    </row>
    <row r="2" spans="1:9" x14ac:dyDescent="0.35">
      <c r="A2" s="46" t="s">
        <v>103</v>
      </c>
      <c r="B2" s="46"/>
      <c r="C2" s="46"/>
      <c r="D2" s="46"/>
      <c r="E2" s="46"/>
      <c r="F2" s="46"/>
      <c r="G2" s="46"/>
      <c r="H2" s="46"/>
      <c r="I2" s="46"/>
    </row>
    <row r="4" spans="1:9" x14ac:dyDescent="0.35">
      <c r="A4" s="43" t="s">
        <v>73</v>
      </c>
      <c r="B4" s="44"/>
      <c r="C4" s="44"/>
      <c r="E4" s="43" t="s">
        <v>74</v>
      </c>
      <c r="F4" s="44"/>
      <c r="H4" s="43" t="s">
        <v>75</v>
      </c>
      <c r="I4" s="44"/>
    </row>
    <row r="5" spans="1:9" x14ac:dyDescent="0.35">
      <c r="A5" s="33" t="s">
        <v>76</v>
      </c>
      <c r="B5" s="33" t="s">
        <v>77</v>
      </c>
      <c r="C5" s="33" t="s">
        <v>78</v>
      </c>
      <c r="E5" s="33" t="s">
        <v>79</v>
      </c>
      <c r="F5" s="33" t="s">
        <v>80</v>
      </c>
      <c r="G5" s="39" t="s">
        <v>76</v>
      </c>
      <c r="H5" s="33" t="s">
        <v>21</v>
      </c>
      <c r="I5" s="33" t="s">
        <v>81</v>
      </c>
    </row>
    <row r="6" spans="1:9" x14ac:dyDescent="0.35">
      <c r="A6" s="42">
        <v>45962</v>
      </c>
      <c r="B6" s="20">
        <v>1965</v>
      </c>
      <c r="C6" s="21">
        <v>36.5</v>
      </c>
      <c r="E6" s="19" t="s">
        <v>82</v>
      </c>
      <c r="F6" s="20">
        <f>KPI_Model!G8</f>
        <v>1517</v>
      </c>
      <c r="G6" s="42">
        <v>46143</v>
      </c>
      <c r="H6" s="22">
        <v>3.4</v>
      </c>
      <c r="I6" s="23">
        <v>44</v>
      </c>
    </row>
    <row r="7" spans="1:9" x14ac:dyDescent="0.35">
      <c r="A7" s="42">
        <v>45992</v>
      </c>
      <c r="B7" s="20">
        <v>2010</v>
      </c>
      <c r="C7" s="21">
        <v>36.799999999999997</v>
      </c>
      <c r="E7" s="19" t="s">
        <v>83</v>
      </c>
      <c r="F7" s="20">
        <v>52</v>
      </c>
      <c r="G7" s="42">
        <v>46174</v>
      </c>
      <c r="H7" s="22">
        <v>3</v>
      </c>
      <c r="I7" s="23">
        <v>46</v>
      </c>
    </row>
    <row r="8" spans="1:9" x14ac:dyDescent="0.35">
      <c r="A8" s="42">
        <v>46023</v>
      </c>
      <c r="B8" s="20">
        <v>1988</v>
      </c>
      <c r="C8" s="21">
        <v>37</v>
      </c>
      <c r="E8" s="19" t="s">
        <v>84</v>
      </c>
      <c r="F8" s="20">
        <v>-8</v>
      </c>
      <c r="G8" s="42">
        <v>46204</v>
      </c>
      <c r="H8" s="22">
        <v>2.6</v>
      </c>
      <c r="I8" s="23">
        <v>45</v>
      </c>
    </row>
    <row r="9" spans="1:9" x14ac:dyDescent="0.35">
      <c r="A9" s="42">
        <v>46054</v>
      </c>
      <c r="B9" s="20">
        <v>2025</v>
      </c>
      <c r="C9" s="21">
        <v>37.299999999999997</v>
      </c>
      <c r="E9" s="19" t="s">
        <v>85</v>
      </c>
      <c r="F9" s="20">
        <v>10</v>
      </c>
      <c r="G9" s="42">
        <v>46235</v>
      </c>
      <c r="H9" s="22">
        <v>2.2999999999999998</v>
      </c>
      <c r="I9" s="23">
        <v>48</v>
      </c>
    </row>
    <row r="10" spans="1:9" x14ac:dyDescent="0.35">
      <c r="A10" s="42">
        <v>46082</v>
      </c>
      <c r="B10" s="20">
        <v>2050</v>
      </c>
      <c r="C10" s="21">
        <v>37.6</v>
      </c>
      <c r="E10" s="19" t="s">
        <v>86</v>
      </c>
      <c r="F10" s="20">
        <v>-28</v>
      </c>
      <c r="G10" s="42">
        <v>46266</v>
      </c>
      <c r="H10" s="22">
        <v>2</v>
      </c>
      <c r="I10" s="23">
        <v>49</v>
      </c>
    </row>
    <row r="11" spans="1:9" x14ac:dyDescent="0.35">
      <c r="A11" s="42">
        <v>46113</v>
      </c>
      <c r="B11" s="20">
        <v>2070</v>
      </c>
      <c r="C11" s="21">
        <v>37.799999999999997</v>
      </c>
      <c r="E11" s="19" t="s">
        <v>87</v>
      </c>
      <c r="F11" s="20">
        <f>KPI_Model!E8</f>
        <v>1543</v>
      </c>
      <c r="G11" s="42">
        <v>46296</v>
      </c>
      <c r="H11" s="22">
        <f>KPI_Model!E14</f>
        <v>1.8</v>
      </c>
      <c r="I11" s="23">
        <f>KPI_Model!E13</f>
        <v>47</v>
      </c>
    </row>
    <row r="12" spans="1:9" x14ac:dyDescent="0.35">
      <c r="A12" s="42">
        <v>46143</v>
      </c>
      <c r="B12" s="20">
        <v>2040</v>
      </c>
      <c r="C12" s="21">
        <v>38</v>
      </c>
    </row>
    <row r="13" spans="1:9" x14ac:dyDescent="0.35">
      <c r="A13" s="42">
        <v>46174</v>
      </c>
      <c r="B13" s="20">
        <v>2095</v>
      </c>
      <c r="C13" s="21">
        <v>38.299999999999997</v>
      </c>
    </row>
    <row r="14" spans="1:9" x14ac:dyDescent="0.35">
      <c r="A14" s="42">
        <v>46204</v>
      </c>
      <c r="B14" s="20">
        <v>2110</v>
      </c>
      <c r="C14" s="21">
        <v>38.5</v>
      </c>
    </row>
    <row r="15" spans="1:9" x14ac:dyDescent="0.35">
      <c r="A15" s="42">
        <v>46235</v>
      </c>
      <c r="B15" s="20">
        <v>2130</v>
      </c>
      <c r="C15" s="21">
        <v>38.700000000000003</v>
      </c>
    </row>
    <row r="16" spans="1:9" x14ac:dyDescent="0.35">
      <c r="A16" s="42">
        <v>46266</v>
      </c>
      <c r="B16" s="20">
        <v>2155</v>
      </c>
      <c r="C16" s="21">
        <v>37.9</v>
      </c>
    </row>
    <row r="17" spans="1:9" x14ac:dyDescent="0.35">
      <c r="A17" s="42">
        <v>46296</v>
      </c>
      <c r="B17" s="20">
        <f>KPI_Model!E6</f>
        <v>2180</v>
      </c>
      <c r="C17" s="21">
        <f>KPI_Model!E12</f>
        <v>39.4</v>
      </c>
    </row>
    <row r="24" spans="1:9" ht="20" customHeight="1" x14ac:dyDescent="0.35">
      <c r="A24" s="47" t="s">
        <v>155</v>
      </c>
      <c r="B24" s="47"/>
      <c r="C24" s="47"/>
      <c r="D24" s="47"/>
      <c r="E24" s="47"/>
      <c r="F24" s="47"/>
      <c r="G24" s="47"/>
      <c r="H24" s="47"/>
      <c r="I24" s="47"/>
    </row>
  </sheetData>
  <mergeCells count="6">
    <mergeCell ref="A24:I24"/>
    <mergeCell ref="E4:F4"/>
    <mergeCell ref="H4:I4"/>
    <mergeCell ref="A4:C4"/>
    <mergeCell ref="A1:I1"/>
    <mergeCell ref="A2:I2"/>
  </mergeCells>
  <pageMargins left="0.25" right="0.25" top="0.5" bottom="0.5" header="0.5" footer="0.5"/>
  <pageSetup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5551A-8A09-44FF-879C-8568E6BE2E92}">
  <sheetPr>
    <tabColor rgb="FF002060"/>
  </sheetPr>
  <dimension ref="A1:C16"/>
  <sheetViews>
    <sheetView showGridLines="0" tabSelected="1" topLeftCell="A9" workbookViewId="0">
      <selection activeCell="A12" sqref="A12"/>
    </sheetView>
  </sheetViews>
  <sheetFormatPr defaultRowHeight="14.5" x14ac:dyDescent="0.35"/>
  <cols>
    <col min="1" max="1" width="44.54296875" customWidth="1"/>
    <col min="2" max="2" width="40" customWidth="1"/>
    <col min="3" max="3" width="20.90625" customWidth="1"/>
  </cols>
  <sheetData>
    <row r="1" spans="1:3" ht="23.5" x14ac:dyDescent="0.35">
      <c r="A1" s="81" t="s">
        <v>156</v>
      </c>
      <c r="B1" s="81"/>
      <c r="C1" s="81"/>
    </row>
    <row r="2" spans="1:3" x14ac:dyDescent="0.35">
      <c r="A2" s="82" t="s">
        <v>157</v>
      </c>
      <c r="B2" s="82"/>
      <c r="C2" s="82"/>
    </row>
    <row r="4" spans="1:3" x14ac:dyDescent="0.35">
      <c r="A4" s="83" t="s">
        <v>158</v>
      </c>
      <c r="B4" s="83"/>
      <c r="C4" s="83"/>
    </row>
    <row r="5" spans="1:3" x14ac:dyDescent="0.35">
      <c r="A5" s="85" t="s">
        <v>159</v>
      </c>
      <c r="B5" s="85" t="s">
        <v>160</v>
      </c>
      <c r="C5" s="85" t="s">
        <v>161</v>
      </c>
    </row>
    <row r="6" spans="1:3" x14ac:dyDescent="0.35">
      <c r="A6" s="105" t="s">
        <v>162</v>
      </c>
      <c r="B6" s="106" t="str">
        <f>TEXT(KPI_Model!E6,"#,##0")&amp;" - "&amp;TEXT(KPI_Model!E8,"#,##0")&amp;" = "&amp;TEXT(KPI_Model!E10,"#,##0")</f>
        <v>2,180 - 1,543 = 637</v>
      </c>
      <c r="C6" s="87" t="str">
        <f>IF(ABS((KPI_Model!E6-KPI_Model!E8)-KPI_Model!E10)&lt;0.000001,"PASS","FAIL")</f>
        <v>PASS</v>
      </c>
    </row>
    <row r="7" spans="1:3" x14ac:dyDescent="0.35">
      <c r="A7" s="107" t="s">
        <v>163</v>
      </c>
      <c r="B7" s="108" t="str">
        <f>TEXT(KPI_Model!E10,"#,##0")&amp;" ÷ "&amp;TEXT(KPI_Model!E6,"#,##0")&amp;" = "&amp;TEXT(KPI_Model!E11,"0.0%")</f>
        <v>637 ÷ 2,180 = 29.2%</v>
      </c>
      <c r="C7" s="88" t="str">
        <f>IF(ROUND(KPI_Model!E10/KPI_Model!E6,3)=KPI_Model!E11,"PASS","FAIL")</f>
        <v>PASS</v>
      </c>
    </row>
    <row r="8" spans="1:3" x14ac:dyDescent="0.35">
      <c r="A8" s="107" t="s">
        <v>164</v>
      </c>
      <c r="B8" s="108" t="str">
        <f>TEXT(KPI_Model!E6,"#,##0")&amp;" vs "&amp;TEXT(Executive_Summary!B6,"#,##0")</f>
        <v>2,180 vs 2,180</v>
      </c>
      <c r="C8" s="88" t="str">
        <f>IF(ABS(KPI_Model!E6-Executive_Summary!B6)&lt;0.000001,"PASS","FAIL")</f>
        <v>PASS</v>
      </c>
    </row>
    <row r="9" spans="1:3" x14ac:dyDescent="0.35">
      <c r="A9" s="107" t="s">
        <v>165</v>
      </c>
      <c r="B9" s="108" t="str">
        <f>TEXT(KPI_Model!E10,"#,##0")&amp;" vs "&amp;TEXT(Executive_Summary!B11,"#,##0")</f>
        <v>637 vs 637</v>
      </c>
      <c r="C9" s="88" t="str">
        <f>IF(ABS(KPI_Model!E10-Executive_Summary!B11)&lt;0.000001,"PASS","FAIL")</f>
        <v>PASS</v>
      </c>
    </row>
    <row r="10" spans="1:3" x14ac:dyDescent="0.35">
      <c r="A10" s="107" t="s">
        <v>166</v>
      </c>
      <c r="B10" s="108" t="str">
        <f>TEXT(KPI_Model!E12,"0.0")&amp;" vs "&amp;TEXT(Executive_Summary!B8,"0.0")</f>
        <v>39.4 vs 39.4</v>
      </c>
      <c r="C10" s="88" t="str">
        <f>IF(ABS(KPI_Model!E12-Executive_Summary!B8)&lt;0.000001,"PASS","FAIL")</f>
        <v>PASS</v>
      </c>
    </row>
    <row r="11" spans="1:3" x14ac:dyDescent="0.35">
      <c r="A11" s="107" t="s">
        <v>167</v>
      </c>
      <c r="B11" s="108" t="str">
        <f>TEXT(KPI_Model!E13,"0")&amp;" vs "&amp;TEXT(Executive_Summary!B10,"0")</f>
        <v>47 vs 47</v>
      </c>
      <c r="C11" s="88" t="str">
        <f>IF(ABS(KPI_Model!E13-Executive_Summary!B10)&lt;0.000001,"PASS","FAIL")</f>
        <v>PASS</v>
      </c>
    </row>
    <row r="12" spans="1:3" ht="29" x14ac:dyDescent="0.35">
      <c r="A12" s="109" t="s">
        <v>168</v>
      </c>
      <c r="B12" s="110" t="str">
        <f>TEXT(KPI_Model!E14,"0.0")&amp;" vs "&amp;TEXT(Executive_Summary!B9,"0.0")</f>
        <v>1.8 vs 1.8</v>
      </c>
      <c r="C12" s="89" t="str">
        <f>IF(ABS(KPI_Model!E14-Executive_Summary!B9)&lt;0.000001,"PASS","FAIL")</f>
        <v>PASS</v>
      </c>
    </row>
    <row r="14" spans="1:3" x14ac:dyDescent="0.35">
      <c r="A14" s="90" t="s">
        <v>169</v>
      </c>
      <c r="B14" s="90"/>
      <c r="C14" s="91" t="str">
        <f>IF(COUNTIF(C6:C12,"PASS")=7,"ALL CONTROLS PASS","REVIEW REQUIRED")</f>
        <v>ALL CONTROLS PASS</v>
      </c>
    </row>
    <row r="16" spans="1:3" x14ac:dyDescent="0.35">
      <c r="A16" s="84" t="s">
        <v>155</v>
      </c>
      <c r="B16" s="84"/>
      <c r="C16" s="84"/>
    </row>
  </sheetData>
  <mergeCells count="5">
    <mergeCell ref="A1:C1"/>
    <mergeCell ref="A2:C2"/>
    <mergeCell ref="A4:C4"/>
    <mergeCell ref="A14:B14"/>
    <mergeCell ref="A16:C16"/>
  </mergeCells>
  <conditionalFormatting sqref="C6:C12">
    <cfRule type="expression" dxfId="1" priority="1">
      <formula>C6="PASS"</formula>
    </cfRule>
  </conditionalFormatting>
  <conditionalFormatting sqref="C6:C12">
    <cfRule type="expression" dxfId="0" priority="2">
      <formula>C6="FAIL"</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2EBE7-E86C-4CA1-801A-DC838DA52D22}">
  <sheetPr>
    <tabColor rgb="FF002060"/>
  </sheetPr>
  <dimension ref="A1:F36"/>
  <sheetViews>
    <sheetView showGridLines="0" workbookViewId="0">
      <selection activeCell="A19" sqref="A19"/>
    </sheetView>
  </sheetViews>
  <sheetFormatPr defaultRowHeight="14.5" x14ac:dyDescent="0.35"/>
  <cols>
    <col min="1" max="1" width="28.1796875" customWidth="1"/>
    <col min="2" max="2" width="26.36328125" customWidth="1"/>
    <col min="3" max="3" width="40" customWidth="1"/>
    <col min="4" max="6" width="10" customWidth="1"/>
  </cols>
  <sheetData>
    <row r="1" spans="1:6" ht="23.5" x14ac:dyDescent="0.35">
      <c r="A1" s="81" t="s">
        <v>170</v>
      </c>
      <c r="B1" s="81"/>
      <c r="C1" s="81"/>
      <c r="D1" s="81"/>
      <c r="E1" s="81"/>
      <c r="F1" s="81"/>
    </row>
    <row r="2" spans="1:6" x14ac:dyDescent="0.35">
      <c r="A2" s="82" t="s">
        <v>171</v>
      </c>
      <c r="B2" s="82"/>
      <c r="C2" s="82"/>
      <c r="D2" s="82"/>
      <c r="E2" s="82"/>
      <c r="F2" s="82"/>
    </row>
    <row r="4" spans="1:6" x14ac:dyDescent="0.35">
      <c r="A4" s="83" t="s">
        <v>172</v>
      </c>
      <c r="B4" s="83"/>
      <c r="C4" s="83"/>
      <c r="D4" s="83"/>
      <c r="E4" s="83"/>
      <c r="F4" s="83"/>
    </row>
    <row r="5" spans="1:6" x14ac:dyDescent="0.35">
      <c r="A5" s="51" t="s">
        <v>173</v>
      </c>
      <c r="B5" s="51"/>
      <c r="C5" s="51"/>
      <c r="D5" s="51"/>
      <c r="E5" s="51"/>
      <c r="F5" s="51"/>
    </row>
    <row r="6" spans="1:6" x14ac:dyDescent="0.35">
      <c r="A6" s="51"/>
      <c r="B6" s="51"/>
      <c r="C6" s="51"/>
      <c r="D6" s="51"/>
      <c r="E6" s="51"/>
      <c r="F6" s="51"/>
    </row>
    <row r="8" spans="1:6" x14ac:dyDescent="0.35">
      <c r="A8" s="83" t="s">
        <v>174</v>
      </c>
      <c r="B8" s="83"/>
      <c r="C8" s="83"/>
      <c r="D8" s="83"/>
      <c r="E8" s="83"/>
      <c r="F8" s="83"/>
    </row>
    <row r="9" spans="1:6" x14ac:dyDescent="0.35">
      <c r="A9" s="86" t="s">
        <v>175</v>
      </c>
      <c r="B9" s="99" t="s">
        <v>4</v>
      </c>
      <c r="C9" s="95"/>
      <c r="D9" s="95"/>
      <c r="E9" s="95"/>
      <c r="F9" s="95"/>
    </row>
    <row r="10" spans="1:6" x14ac:dyDescent="0.35">
      <c r="A10" s="86" t="s">
        <v>176</v>
      </c>
      <c r="B10" s="99" t="s">
        <v>177</v>
      </c>
      <c r="C10" s="51"/>
      <c r="D10" s="51"/>
      <c r="E10" s="51"/>
      <c r="F10" s="51"/>
    </row>
    <row r="11" spans="1:6" x14ac:dyDescent="0.35">
      <c r="A11" s="86" t="s">
        <v>178</v>
      </c>
      <c r="B11" s="99" t="s">
        <v>179</v>
      </c>
      <c r="C11" s="51"/>
      <c r="D11" s="51"/>
      <c r="E11" s="51"/>
      <c r="F11" s="51"/>
    </row>
    <row r="12" spans="1:6" x14ac:dyDescent="0.35">
      <c r="A12" s="86" t="s">
        <v>180</v>
      </c>
      <c r="B12" s="99" t="s">
        <v>181</v>
      </c>
      <c r="C12" s="51"/>
      <c r="D12" s="51"/>
      <c r="E12" s="51"/>
      <c r="F12" s="51"/>
    </row>
    <row r="13" spans="1:6" x14ac:dyDescent="0.35">
      <c r="A13" s="86" t="s">
        <v>182</v>
      </c>
      <c r="B13" s="99" t="s">
        <v>183</v>
      </c>
      <c r="C13" s="51"/>
      <c r="D13" s="51"/>
      <c r="E13" s="51"/>
      <c r="F13" s="51"/>
    </row>
    <row r="15" spans="1:6" x14ac:dyDescent="0.35">
      <c r="A15" s="83" t="s">
        <v>184</v>
      </c>
      <c r="B15" s="83"/>
      <c r="C15" s="83"/>
      <c r="D15" s="83"/>
      <c r="E15" s="83"/>
      <c r="F15" s="83"/>
    </row>
    <row r="16" spans="1:6" x14ac:dyDescent="0.35">
      <c r="A16" s="85" t="s">
        <v>12</v>
      </c>
      <c r="B16" s="85" t="s">
        <v>185</v>
      </c>
      <c r="C16" s="85" t="s">
        <v>186</v>
      </c>
    </row>
    <row r="17" spans="1:6" ht="29" x14ac:dyDescent="0.35">
      <c r="A17" s="86" t="s">
        <v>34</v>
      </c>
      <c r="B17" s="28" t="s">
        <v>187</v>
      </c>
      <c r="C17" s="28" t="s">
        <v>188</v>
      </c>
    </row>
    <row r="18" spans="1:6" ht="29" x14ac:dyDescent="0.35">
      <c r="A18" s="86" t="s">
        <v>36</v>
      </c>
      <c r="B18" s="28" t="s">
        <v>189</v>
      </c>
      <c r="C18" s="28" t="s">
        <v>163</v>
      </c>
    </row>
    <row r="19" spans="1:6" ht="29" x14ac:dyDescent="0.35">
      <c r="A19" s="86" t="s">
        <v>190</v>
      </c>
      <c r="B19" s="28" t="s">
        <v>191</v>
      </c>
      <c r="C19" s="28" t="s">
        <v>192</v>
      </c>
    </row>
    <row r="20" spans="1:6" x14ac:dyDescent="0.35">
      <c r="A20" s="86" t="s">
        <v>193</v>
      </c>
      <c r="B20" s="28" t="s">
        <v>194</v>
      </c>
      <c r="C20" s="28" t="s">
        <v>195</v>
      </c>
    </row>
    <row r="21" spans="1:6" x14ac:dyDescent="0.35">
      <c r="A21" s="86" t="s">
        <v>42</v>
      </c>
      <c r="B21" s="28" t="s">
        <v>196</v>
      </c>
      <c r="C21" s="28" t="s">
        <v>197</v>
      </c>
    </row>
    <row r="23" spans="1:6" x14ac:dyDescent="0.35">
      <c r="A23" s="83" t="s">
        <v>198</v>
      </c>
      <c r="B23" s="83"/>
      <c r="C23" s="83"/>
      <c r="D23" s="83"/>
      <c r="E23" s="83"/>
      <c r="F23" s="83"/>
    </row>
    <row r="24" spans="1:6" x14ac:dyDescent="0.35">
      <c r="A24" s="92" t="s">
        <v>12</v>
      </c>
      <c r="B24" s="92"/>
      <c r="C24" s="92" t="s">
        <v>199</v>
      </c>
      <c r="D24" s="92"/>
      <c r="E24" s="92"/>
      <c r="F24" s="92"/>
    </row>
    <row r="25" spans="1:6" x14ac:dyDescent="0.35">
      <c r="A25" s="93" t="s">
        <v>27</v>
      </c>
      <c r="B25" s="93"/>
      <c r="C25" s="55" t="s">
        <v>200</v>
      </c>
      <c r="D25" s="55"/>
      <c r="E25" s="55"/>
      <c r="F25" s="55"/>
    </row>
    <row r="26" spans="1:6" x14ac:dyDescent="0.35">
      <c r="A26" s="93" t="s">
        <v>201</v>
      </c>
      <c r="B26" s="93"/>
      <c r="C26" s="55" t="s">
        <v>202</v>
      </c>
      <c r="D26" s="55"/>
      <c r="E26" s="55"/>
      <c r="F26" s="55"/>
    </row>
    <row r="27" spans="1:6" x14ac:dyDescent="0.35">
      <c r="A27" s="94" t="s">
        <v>190</v>
      </c>
      <c r="B27" s="94"/>
      <c r="C27" s="79" t="s">
        <v>203</v>
      </c>
      <c r="D27" s="79"/>
      <c r="E27" s="79"/>
      <c r="F27" s="79"/>
    </row>
    <row r="28" spans="1:6" x14ac:dyDescent="0.35">
      <c r="A28" s="94" t="s">
        <v>42</v>
      </c>
      <c r="B28" s="94"/>
      <c r="C28" s="79" t="s">
        <v>204</v>
      </c>
      <c r="D28" s="79"/>
      <c r="E28" s="79"/>
      <c r="F28" s="79"/>
    </row>
    <row r="29" spans="1:6" x14ac:dyDescent="0.35">
      <c r="A29" s="94" t="s">
        <v>34</v>
      </c>
      <c r="B29" s="94"/>
      <c r="C29" s="79" t="s">
        <v>205</v>
      </c>
      <c r="D29" s="79"/>
      <c r="E29" s="79"/>
      <c r="F29" s="79"/>
    </row>
    <row r="31" spans="1:6" x14ac:dyDescent="0.35">
      <c r="A31" s="83" t="s">
        <v>206</v>
      </c>
      <c r="B31" s="83"/>
      <c r="C31" s="83"/>
      <c r="D31" s="83"/>
      <c r="E31" s="83"/>
      <c r="F31" s="83"/>
    </row>
    <row r="32" spans="1:6" x14ac:dyDescent="0.35">
      <c r="A32" s="96" t="s">
        <v>207</v>
      </c>
      <c r="B32" s="96"/>
      <c r="C32" s="96"/>
      <c r="D32" s="96"/>
      <c r="E32" s="96"/>
      <c r="F32" s="96"/>
    </row>
    <row r="33" spans="1:6" x14ac:dyDescent="0.35">
      <c r="A33" s="96"/>
      <c r="B33" s="96"/>
      <c r="C33" s="96"/>
      <c r="D33" s="96"/>
      <c r="E33" s="96"/>
      <c r="F33" s="96"/>
    </row>
    <row r="34" spans="1:6" x14ac:dyDescent="0.35">
      <c r="A34" s="96"/>
      <c r="B34" s="96"/>
      <c r="C34" s="96"/>
      <c r="D34" s="96"/>
      <c r="E34" s="96"/>
      <c r="F34" s="96"/>
    </row>
    <row r="36" spans="1:6" x14ac:dyDescent="0.35">
      <c r="A36" s="84" t="s">
        <v>155</v>
      </c>
      <c r="B36" s="84"/>
      <c r="C36" s="84"/>
      <c r="D36" s="84"/>
      <c r="E36" s="84"/>
      <c r="F36" s="84"/>
    </row>
  </sheetData>
  <mergeCells count="27">
    <mergeCell ref="A29:B29"/>
    <mergeCell ref="C29:F29"/>
    <mergeCell ref="A31:F31"/>
    <mergeCell ref="A32:F34"/>
    <mergeCell ref="A36:F36"/>
    <mergeCell ref="B9:F9"/>
    <mergeCell ref="B10:F10"/>
    <mergeCell ref="B11:F11"/>
    <mergeCell ref="B12:F12"/>
    <mergeCell ref="B13:F13"/>
    <mergeCell ref="A26:B26"/>
    <mergeCell ref="C26:F26"/>
    <mergeCell ref="A27:B27"/>
    <mergeCell ref="C27:F27"/>
    <mergeCell ref="A28:B28"/>
    <mergeCell ref="C28:F28"/>
    <mergeCell ref="A15:F15"/>
    <mergeCell ref="A23:F23"/>
    <mergeCell ref="A24:B24"/>
    <mergeCell ref="C24:F24"/>
    <mergeCell ref="A25:B25"/>
    <mergeCell ref="C25:F25"/>
    <mergeCell ref="A1:F1"/>
    <mergeCell ref="A2:F2"/>
    <mergeCell ref="A4:F4"/>
    <mergeCell ref="A5:F6"/>
    <mergeCell ref="A8:F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D26B7-9E80-4268-8F80-E52EA7F12BAB}">
  <sheetPr>
    <tabColor rgb="FF002060"/>
  </sheetPr>
  <dimension ref="A1:C15"/>
  <sheetViews>
    <sheetView showGridLines="0" workbookViewId="0">
      <selection activeCell="F17" sqref="F17"/>
    </sheetView>
  </sheetViews>
  <sheetFormatPr defaultRowHeight="14.5" x14ac:dyDescent="0.35"/>
  <cols>
    <col min="1" max="1" width="32.7265625" customWidth="1"/>
    <col min="2" max="2" width="51.81640625" customWidth="1"/>
    <col min="3" max="3" width="14.54296875" customWidth="1"/>
  </cols>
  <sheetData>
    <row r="1" spans="1:3" ht="23.5" x14ac:dyDescent="0.35">
      <c r="A1" s="81" t="s">
        <v>208</v>
      </c>
      <c r="B1" s="81"/>
      <c r="C1" s="81"/>
    </row>
    <row r="2" spans="1:3" x14ac:dyDescent="0.35">
      <c r="A2" s="82" t="s">
        <v>209</v>
      </c>
      <c r="B2" s="82"/>
      <c r="C2" s="82"/>
    </row>
    <row r="4" spans="1:3" x14ac:dyDescent="0.35">
      <c r="A4" s="83" t="s">
        <v>210</v>
      </c>
      <c r="B4" s="83"/>
      <c r="C4" s="83"/>
    </row>
    <row r="5" spans="1:3" x14ac:dyDescent="0.35">
      <c r="A5" s="85" t="s">
        <v>211</v>
      </c>
      <c r="B5" s="85" t="s">
        <v>212</v>
      </c>
    </row>
    <row r="6" spans="1:3" x14ac:dyDescent="0.35">
      <c r="A6" s="86" t="s">
        <v>141</v>
      </c>
      <c r="B6" t="s">
        <v>213</v>
      </c>
    </row>
    <row r="7" spans="1:3" x14ac:dyDescent="0.35">
      <c r="A7" s="86" t="s">
        <v>143</v>
      </c>
      <c r="B7" t="s">
        <v>214</v>
      </c>
    </row>
    <row r="8" spans="1:3" x14ac:dyDescent="0.35">
      <c r="A8" s="86" t="s">
        <v>145</v>
      </c>
      <c r="B8" t="s">
        <v>215</v>
      </c>
    </row>
    <row r="9" spans="1:3" x14ac:dyDescent="0.35">
      <c r="A9" s="86" t="s">
        <v>147</v>
      </c>
      <c r="B9" t="s">
        <v>216</v>
      </c>
    </row>
    <row r="11" spans="1:3" x14ac:dyDescent="0.35">
      <c r="A11" s="83" t="s">
        <v>217</v>
      </c>
      <c r="B11" s="83"/>
      <c r="C11" s="83"/>
    </row>
    <row r="12" spans="1:3" x14ac:dyDescent="0.35">
      <c r="A12" s="96" t="s">
        <v>218</v>
      </c>
      <c r="B12" s="96"/>
      <c r="C12" s="96"/>
    </row>
    <row r="13" spans="1:3" x14ac:dyDescent="0.35">
      <c r="A13" s="96"/>
      <c r="B13" s="96"/>
      <c r="C13" s="96"/>
    </row>
    <row r="15" spans="1:3" x14ac:dyDescent="0.35">
      <c r="A15" s="84" t="s">
        <v>155</v>
      </c>
      <c r="B15" s="84"/>
      <c r="C15" s="84"/>
    </row>
  </sheetData>
  <mergeCells count="6">
    <mergeCell ref="A1:C1"/>
    <mergeCell ref="A2:C2"/>
    <mergeCell ref="A4:C4"/>
    <mergeCell ref="A11:C11"/>
    <mergeCell ref="A12:C13"/>
    <mergeCell ref="A15:C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Cover_Page</vt:lpstr>
      <vt:lpstr>Executive_Summary</vt:lpstr>
      <vt:lpstr>Management_P&amp;L</vt:lpstr>
      <vt:lpstr>Trend_Analysis</vt:lpstr>
      <vt:lpstr>KPI_Model</vt:lpstr>
      <vt:lpstr>Inputs_Actuals</vt:lpstr>
      <vt:lpstr>Inputs_PriorYear</vt:lpstr>
      <vt:lpstr>Inputs_Budget</vt:lpstr>
      <vt:lpstr>Trend_Data</vt:lpstr>
      <vt:lpstr>Control_Checks</vt:lpstr>
      <vt:lpstr>Methodology_Notes</vt:lpstr>
      <vt:lpstr>Source_Register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Joy Lorna</dc:creator>
  <cp:keywords/>
  <dc:description/>
  <cp:lastModifiedBy>Joy Lorna</cp:lastModifiedBy>
  <cp:revision/>
  <dcterms:created xsi:type="dcterms:W3CDTF">2026-08-13T17:40:23Z</dcterms:created>
  <dcterms:modified xsi:type="dcterms:W3CDTF">2026-08-27T23:42:47Z</dcterms:modified>
  <cp:category/>
  <cp:contentStatus/>
</cp:coreProperties>
</file>